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827" codeName="{37B6ACAC-4A07-160E-37E0-EFA003358AD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icky\Desktop\"/>
    </mc:Choice>
  </mc:AlternateContent>
  <bookViews>
    <workbookView xWindow="0" yWindow="0" windowWidth="12458" windowHeight="6263"/>
  </bookViews>
  <sheets>
    <sheet name="Student Setup" sheetId="3" r:id="rId1"/>
  </sheets>
  <definedNames>
    <definedName name="_xlnm.Print_Area" localSheetId="0">'Student Setup'!$B$4:$I$20</definedName>
    <definedName name="solver_adj" localSheetId="0" hidden="1">'Student Setup'!$B$14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'Student Setup'!$F$6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0</definedName>
    <definedName name="solver_ver" localSheetId="0" hidden="1">3</definedName>
  </definedNames>
  <calcPr calcId="162913"/>
</workbook>
</file>

<file path=xl/calcChain.xml><?xml version="1.0" encoding="utf-8"?>
<calcChain xmlns="http://schemas.openxmlformats.org/spreadsheetml/2006/main">
  <c r="F17" i="3" l="1"/>
  <c r="B13" i="3"/>
  <c r="D17" i="3" l="1"/>
  <c r="G17" i="3" s="1"/>
  <c r="I17" i="3"/>
  <c r="C17" i="3"/>
  <c r="E17" i="3" s="1"/>
  <c r="B18" i="3"/>
  <c r="F18" i="3" l="1"/>
  <c r="C18" i="3"/>
  <c r="E18" i="3" s="1"/>
  <c r="I18" i="3"/>
  <c r="B19" i="3"/>
  <c r="H17" i="3"/>
  <c r="F19" i="3" l="1"/>
  <c r="D18" i="3"/>
  <c r="G18" i="3" s="1"/>
  <c r="H18" i="3" s="1"/>
  <c r="D19" i="3" s="1"/>
  <c r="C19" i="3"/>
  <c r="E19" i="3" s="1"/>
  <c r="I19" i="3"/>
  <c r="B20" i="3"/>
  <c r="F20" i="3" l="1"/>
  <c r="G19" i="3"/>
  <c r="H19" i="3" s="1"/>
  <c r="D20" i="3" s="1"/>
  <c r="C20" i="3"/>
  <c r="E20" i="3" s="1"/>
  <c r="B21" i="3"/>
  <c r="I20" i="3"/>
  <c r="F21" i="3" l="1"/>
  <c r="B22" i="3"/>
  <c r="C21" i="3"/>
  <c r="E21" i="3" s="1"/>
  <c r="I21" i="3"/>
  <c r="F22" i="3" l="1"/>
  <c r="B23" i="3"/>
  <c r="C22" i="3"/>
  <c r="E22" i="3" s="1"/>
  <c r="I22" i="3"/>
  <c r="F23" i="3" l="1"/>
  <c r="B24" i="3"/>
  <c r="C23" i="3"/>
  <c r="E23" i="3" s="1"/>
  <c r="I23" i="3"/>
  <c r="F24" i="3" l="1"/>
  <c r="B25" i="3"/>
  <c r="C24" i="3"/>
  <c r="E24" i="3" s="1"/>
  <c r="I24" i="3"/>
  <c r="F25" i="3" l="1"/>
  <c r="B26" i="3"/>
  <c r="C25" i="3"/>
  <c r="E25" i="3" s="1"/>
  <c r="I25" i="3"/>
  <c r="F26" i="3" l="1"/>
  <c r="B27" i="3"/>
  <c r="C26" i="3"/>
  <c r="E26" i="3" s="1"/>
  <c r="I26" i="3"/>
  <c r="F27" i="3" l="1"/>
  <c r="B28" i="3"/>
  <c r="C27" i="3"/>
  <c r="E27" i="3" s="1"/>
  <c r="I27" i="3"/>
  <c r="F28" i="3" l="1"/>
  <c r="B29" i="3"/>
  <c r="C28" i="3"/>
  <c r="E28" i="3" s="1"/>
  <c r="I28" i="3"/>
  <c r="F29" i="3" l="1"/>
  <c r="B30" i="3"/>
  <c r="C29" i="3"/>
  <c r="E29" i="3" s="1"/>
  <c r="I29" i="3"/>
  <c r="F30" i="3" l="1"/>
  <c r="B31" i="3"/>
  <c r="C30" i="3"/>
  <c r="E30" i="3" s="1"/>
  <c r="I30" i="3"/>
  <c r="F31" i="3" l="1"/>
  <c r="B32" i="3"/>
  <c r="C31" i="3"/>
  <c r="E31" i="3" s="1"/>
  <c r="I31" i="3"/>
  <c r="F32" i="3" l="1"/>
  <c r="B33" i="3"/>
  <c r="C32" i="3"/>
  <c r="E32" i="3" s="1"/>
  <c r="I32" i="3"/>
  <c r="F33" i="3" l="1"/>
  <c r="B34" i="3"/>
  <c r="C33" i="3"/>
  <c r="E33" i="3" s="1"/>
  <c r="I33" i="3"/>
  <c r="F34" i="3" l="1"/>
  <c r="B35" i="3"/>
  <c r="C34" i="3"/>
  <c r="E34" i="3" s="1"/>
  <c r="I34" i="3"/>
  <c r="F35" i="3" l="1"/>
  <c r="B36" i="3"/>
  <c r="C35" i="3"/>
  <c r="E35" i="3" s="1"/>
  <c r="I35" i="3"/>
  <c r="F36" i="3" l="1"/>
  <c r="B37" i="3"/>
  <c r="C36" i="3"/>
  <c r="E36" i="3" s="1"/>
  <c r="I36" i="3"/>
  <c r="F37" i="3" l="1"/>
  <c r="B38" i="3"/>
  <c r="C37" i="3"/>
  <c r="E37" i="3" s="1"/>
  <c r="I37" i="3"/>
  <c r="F38" i="3" l="1"/>
  <c r="B39" i="3"/>
  <c r="C38" i="3"/>
  <c r="E38" i="3" s="1"/>
  <c r="I38" i="3"/>
  <c r="F39" i="3" l="1"/>
  <c r="B40" i="3"/>
  <c r="C39" i="3"/>
  <c r="E39" i="3" s="1"/>
  <c r="I39" i="3"/>
  <c r="F40" i="3" l="1"/>
  <c r="B41" i="3"/>
  <c r="C40" i="3"/>
  <c r="E40" i="3" s="1"/>
  <c r="I40" i="3"/>
  <c r="F41" i="3" l="1"/>
  <c r="B42" i="3"/>
  <c r="C41" i="3"/>
  <c r="E41" i="3" s="1"/>
  <c r="I41" i="3"/>
  <c r="F42" i="3" l="1"/>
  <c r="B43" i="3"/>
  <c r="C42" i="3"/>
  <c r="E42" i="3" s="1"/>
  <c r="I42" i="3"/>
  <c r="F43" i="3" l="1"/>
  <c r="B44" i="3"/>
  <c r="C43" i="3"/>
  <c r="E43" i="3" s="1"/>
  <c r="I43" i="3"/>
  <c r="F44" i="3" l="1"/>
  <c r="B45" i="3"/>
  <c r="C44" i="3"/>
  <c r="E44" i="3" s="1"/>
  <c r="I44" i="3"/>
  <c r="F45" i="3" l="1"/>
  <c r="B46" i="3"/>
  <c r="C45" i="3"/>
  <c r="E45" i="3" s="1"/>
  <c r="I45" i="3"/>
  <c r="F46" i="3" l="1"/>
  <c r="B47" i="3"/>
  <c r="C46" i="3"/>
  <c r="E46" i="3" s="1"/>
  <c r="I46" i="3"/>
  <c r="F47" i="3" l="1"/>
  <c r="B48" i="3"/>
  <c r="C47" i="3"/>
  <c r="E47" i="3" s="1"/>
  <c r="I47" i="3"/>
  <c r="F48" i="3" l="1"/>
  <c r="B49" i="3"/>
  <c r="C48" i="3"/>
  <c r="E48" i="3" s="1"/>
  <c r="I48" i="3"/>
  <c r="F49" i="3" l="1"/>
  <c r="B50" i="3"/>
  <c r="C49" i="3"/>
  <c r="E49" i="3" s="1"/>
  <c r="I49" i="3"/>
  <c r="F50" i="3" l="1"/>
  <c r="B51" i="3"/>
  <c r="C50" i="3"/>
  <c r="E50" i="3" s="1"/>
  <c r="I50" i="3"/>
  <c r="F51" i="3" l="1"/>
  <c r="B52" i="3"/>
  <c r="C51" i="3"/>
  <c r="E51" i="3" s="1"/>
  <c r="I51" i="3"/>
  <c r="F52" i="3" l="1"/>
  <c r="B53" i="3"/>
  <c r="C52" i="3"/>
  <c r="E52" i="3" s="1"/>
  <c r="I52" i="3"/>
  <c r="F53" i="3" l="1"/>
  <c r="B54" i="3"/>
  <c r="C53" i="3"/>
  <c r="E53" i="3" s="1"/>
  <c r="I53" i="3"/>
  <c r="F54" i="3" l="1"/>
  <c r="B55" i="3"/>
  <c r="C54" i="3"/>
  <c r="E54" i="3" s="1"/>
  <c r="I54" i="3"/>
  <c r="F55" i="3" l="1"/>
  <c r="B56" i="3"/>
  <c r="C55" i="3"/>
  <c r="E55" i="3" s="1"/>
  <c r="I55" i="3"/>
  <c r="F56" i="3" l="1"/>
  <c r="B57" i="3"/>
  <c r="C56" i="3"/>
  <c r="E56" i="3" s="1"/>
  <c r="I56" i="3"/>
  <c r="F57" i="3" l="1"/>
  <c r="B58" i="3"/>
  <c r="C57" i="3"/>
  <c r="E57" i="3" s="1"/>
  <c r="I57" i="3"/>
  <c r="F58" i="3" l="1"/>
  <c r="B59" i="3"/>
  <c r="C58" i="3"/>
  <c r="E58" i="3" s="1"/>
  <c r="I58" i="3"/>
  <c r="F59" i="3" l="1"/>
  <c r="B60" i="3"/>
  <c r="C59" i="3"/>
  <c r="E59" i="3" s="1"/>
  <c r="I59" i="3"/>
  <c r="F60" i="3" l="1"/>
  <c r="B61" i="3"/>
  <c r="C60" i="3"/>
  <c r="E60" i="3" s="1"/>
  <c r="I60" i="3"/>
  <c r="F61" i="3" l="1"/>
  <c r="B62" i="3"/>
  <c r="C61" i="3"/>
  <c r="E61" i="3" s="1"/>
  <c r="I61" i="3"/>
  <c r="F62" i="3" l="1"/>
  <c r="B63" i="3"/>
  <c r="C62" i="3"/>
  <c r="E62" i="3" s="1"/>
  <c r="I62" i="3"/>
  <c r="F63" i="3" l="1"/>
  <c r="B64" i="3"/>
  <c r="C63" i="3"/>
  <c r="E63" i="3" s="1"/>
  <c r="I63" i="3"/>
  <c r="F64" i="3" l="1"/>
  <c r="B65" i="3"/>
  <c r="C64" i="3"/>
  <c r="E64" i="3" s="1"/>
  <c r="I64" i="3"/>
  <c r="F65" i="3" l="1"/>
  <c r="B66" i="3"/>
  <c r="C65" i="3"/>
  <c r="E65" i="3" s="1"/>
  <c r="I65" i="3"/>
  <c r="F66" i="3" l="1"/>
  <c r="B67" i="3"/>
  <c r="C66" i="3"/>
  <c r="E66" i="3" s="1"/>
  <c r="I66" i="3"/>
  <c r="F67" i="3" l="1"/>
  <c r="B68" i="3"/>
  <c r="C67" i="3"/>
  <c r="E67" i="3" s="1"/>
  <c r="I67" i="3"/>
  <c r="F68" i="3" l="1"/>
  <c r="B69" i="3"/>
  <c r="C68" i="3"/>
  <c r="E68" i="3" s="1"/>
  <c r="I68" i="3"/>
  <c r="F69" i="3" l="1"/>
  <c r="B70" i="3"/>
  <c r="C69" i="3"/>
  <c r="E69" i="3" s="1"/>
  <c r="I69" i="3"/>
  <c r="F70" i="3" l="1"/>
  <c r="B71" i="3"/>
  <c r="C70" i="3"/>
  <c r="E70" i="3" s="1"/>
  <c r="I70" i="3"/>
  <c r="F71" i="3" l="1"/>
  <c r="B72" i="3"/>
  <c r="C71" i="3"/>
  <c r="E71" i="3" s="1"/>
  <c r="I71" i="3"/>
  <c r="F72" i="3" l="1"/>
  <c r="B73" i="3"/>
  <c r="C72" i="3"/>
  <c r="E72" i="3" s="1"/>
  <c r="I72" i="3"/>
  <c r="F73" i="3" l="1"/>
  <c r="B74" i="3"/>
  <c r="C73" i="3"/>
  <c r="E73" i="3" s="1"/>
  <c r="I73" i="3"/>
  <c r="F74" i="3" l="1"/>
  <c r="B75" i="3"/>
  <c r="C74" i="3"/>
  <c r="E74" i="3" s="1"/>
  <c r="I74" i="3"/>
  <c r="F75" i="3" l="1"/>
  <c r="B76" i="3"/>
  <c r="C75" i="3"/>
  <c r="E75" i="3" s="1"/>
  <c r="I75" i="3"/>
  <c r="F76" i="3" l="1"/>
  <c r="B77" i="3"/>
  <c r="C76" i="3"/>
  <c r="E76" i="3" s="1"/>
  <c r="I76" i="3"/>
  <c r="F77" i="3" l="1"/>
  <c r="B78" i="3"/>
  <c r="C77" i="3"/>
  <c r="E77" i="3" s="1"/>
  <c r="I77" i="3"/>
  <c r="F78" i="3" l="1"/>
  <c r="B79" i="3"/>
  <c r="C78" i="3"/>
  <c r="E78" i="3" s="1"/>
  <c r="I78" i="3"/>
  <c r="F79" i="3" l="1"/>
  <c r="B80" i="3"/>
  <c r="C79" i="3"/>
  <c r="E79" i="3" s="1"/>
  <c r="I79" i="3"/>
  <c r="F80" i="3" l="1"/>
  <c r="B81" i="3"/>
  <c r="C80" i="3"/>
  <c r="E80" i="3" s="1"/>
  <c r="I80" i="3"/>
  <c r="F81" i="3" l="1"/>
  <c r="B82" i="3"/>
  <c r="C81" i="3"/>
  <c r="E81" i="3" s="1"/>
  <c r="I81" i="3"/>
  <c r="F82" i="3" l="1"/>
  <c r="B83" i="3"/>
  <c r="C82" i="3"/>
  <c r="E82" i="3" s="1"/>
  <c r="I82" i="3"/>
  <c r="F83" i="3" l="1"/>
  <c r="B84" i="3"/>
  <c r="C83" i="3"/>
  <c r="E83" i="3" s="1"/>
  <c r="I83" i="3"/>
  <c r="F84" i="3" l="1"/>
  <c r="B85" i="3"/>
  <c r="C84" i="3"/>
  <c r="E84" i="3" s="1"/>
  <c r="I84" i="3"/>
  <c r="D85" i="3" l="1"/>
  <c r="F85" i="3"/>
  <c r="E85" i="3"/>
  <c r="B86" i="3"/>
  <c r="C85" i="3"/>
  <c r="I85" i="3"/>
  <c r="G85" i="3"/>
  <c r="H85" i="3" s="1"/>
  <c r="F86" i="3" l="1"/>
  <c r="E86" i="3"/>
  <c r="D86" i="3"/>
  <c r="B87" i="3"/>
  <c r="C86" i="3"/>
  <c r="I86" i="3"/>
  <c r="G86" i="3"/>
  <c r="H86" i="3" s="1"/>
  <c r="F87" i="3" l="1"/>
  <c r="E87" i="3"/>
  <c r="D87" i="3"/>
  <c r="B88" i="3"/>
  <c r="C87" i="3"/>
  <c r="I87" i="3"/>
  <c r="G87" i="3"/>
  <c r="H87" i="3" s="1"/>
  <c r="D88" i="3" l="1"/>
  <c r="F88" i="3"/>
  <c r="E88" i="3"/>
  <c r="B89" i="3"/>
  <c r="C88" i="3"/>
  <c r="H88" i="3"/>
  <c r="G88" i="3"/>
  <c r="I88" i="3"/>
  <c r="D89" i="3" l="1"/>
  <c r="E89" i="3"/>
  <c r="F89" i="3"/>
  <c r="B90" i="3"/>
  <c r="C89" i="3"/>
  <c r="I89" i="3"/>
  <c r="H89" i="3"/>
  <c r="G89" i="3"/>
  <c r="F90" i="3" l="1"/>
  <c r="E90" i="3"/>
  <c r="D90" i="3"/>
  <c r="B91" i="3"/>
  <c r="C90" i="3"/>
  <c r="G90" i="3"/>
  <c r="I90" i="3"/>
  <c r="H90" i="3"/>
  <c r="F91" i="3" l="1"/>
  <c r="E91" i="3"/>
  <c r="D91" i="3"/>
  <c r="B92" i="3"/>
  <c r="C91" i="3"/>
  <c r="H91" i="3"/>
  <c r="G91" i="3"/>
  <c r="I91" i="3"/>
  <c r="D92" i="3" l="1"/>
  <c r="F92" i="3"/>
  <c r="E92" i="3"/>
  <c r="B93" i="3"/>
  <c r="C92" i="3"/>
  <c r="H92" i="3"/>
  <c r="G92" i="3"/>
  <c r="I92" i="3"/>
  <c r="D93" i="3" l="1"/>
  <c r="F93" i="3"/>
  <c r="E93" i="3"/>
  <c r="B94" i="3"/>
  <c r="C93" i="3"/>
  <c r="I93" i="3"/>
  <c r="H93" i="3"/>
  <c r="G93" i="3"/>
  <c r="F94" i="3" l="1"/>
  <c r="E94" i="3"/>
  <c r="D94" i="3"/>
  <c r="B95" i="3"/>
  <c r="C94" i="3"/>
  <c r="G94" i="3"/>
  <c r="I94" i="3"/>
  <c r="H94" i="3"/>
  <c r="F95" i="3" l="1"/>
  <c r="E95" i="3"/>
  <c r="D95" i="3"/>
  <c r="B96" i="3"/>
  <c r="C95" i="3"/>
  <c r="H95" i="3"/>
  <c r="G95" i="3"/>
  <c r="I95" i="3"/>
  <c r="D96" i="3" l="1"/>
  <c r="F96" i="3"/>
  <c r="E96" i="3"/>
  <c r="B97" i="3"/>
  <c r="C96" i="3"/>
  <c r="H96" i="3"/>
  <c r="G96" i="3"/>
  <c r="I96" i="3"/>
  <c r="D97" i="3" l="1"/>
  <c r="E97" i="3"/>
  <c r="F97" i="3"/>
  <c r="B98" i="3"/>
  <c r="C97" i="3"/>
  <c r="I97" i="3"/>
  <c r="H97" i="3"/>
  <c r="G97" i="3"/>
  <c r="F98" i="3" l="1"/>
  <c r="E98" i="3"/>
  <c r="D98" i="3"/>
  <c r="B99" i="3"/>
  <c r="C98" i="3"/>
  <c r="G98" i="3"/>
  <c r="I98" i="3"/>
  <c r="H98" i="3"/>
  <c r="F99" i="3" l="1"/>
  <c r="E99" i="3"/>
  <c r="D99" i="3"/>
  <c r="B100" i="3"/>
  <c r="C99" i="3"/>
  <c r="H99" i="3"/>
  <c r="G99" i="3"/>
  <c r="I99" i="3"/>
  <c r="D100" i="3" l="1"/>
  <c r="F100" i="3"/>
  <c r="E100" i="3"/>
  <c r="B101" i="3"/>
  <c r="C100" i="3"/>
  <c r="H100" i="3"/>
  <c r="G100" i="3"/>
  <c r="I100" i="3"/>
  <c r="D101" i="3" l="1"/>
  <c r="E101" i="3"/>
  <c r="F101" i="3"/>
  <c r="B102" i="3"/>
  <c r="C101" i="3"/>
  <c r="I101" i="3"/>
  <c r="H101" i="3"/>
  <c r="G101" i="3"/>
  <c r="F102" i="3" l="1"/>
  <c r="E102" i="3"/>
  <c r="D102" i="3"/>
  <c r="B103" i="3"/>
  <c r="C102" i="3"/>
  <c r="G102" i="3"/>
  <c r="I102" i="3"/>
  <c r="H102" i="3"/>
  <c r="F103" i="3" l="1"/>
  <c r="E103" i="3"/>
  <c r="D103" i="3"/>
  <c r="B104" i="3"/>
  <c r="C103" i="3"/>
  <c r="H103" i="3"/>
  <c r="G103" i="3"/>
  <c r="I103" i="3"/>
  <c r="D104" i="3" l="1"/>
  <c r="F104" i="3"/>
  <c r="E104" i="3"/>
  <c r="C104" i="3"/>
  <c r="H104" i="3"/>
  <c r="G104" i="3"/>
  <c r="I104" i="3"/>
  <c r="G20" i="3"/>
  <c r="H20" i="3" s="1"/>
  <c r="D21" i="3" s="1"/>
  <c r="G21" i="3" l="1"/>
  <c r="H21" i="3" s="1"/>
  <c r="D22" i="3" s="1"/>
  <c r="G22" i="3" l="1"/>
  <c r="H22" i="3" s="1"/>
  <c r="D23" i="3" s="1"/>
  <c r="G23" i="3" l="1"/>
  <c r="H23" i="3" s="1"/>
  <c r="D24" i="3" s="1"/>
  <c r="G24" i="3" l="1"/>
  <c r="H24" i="3" s="1"/>
  <c r="D25" i="3" s="1"/>
  <c r="G25" i="3" l="1"/>
  <c r="H25" i="3" s="1"/>
  <c r="D26" i="3" s="1"/>
  <c r="G26" i="3" l="1"/>
  <c r="H26" i="3" s="1"/>
  <c r="D27" i="3" s="1"/>
  <c r="G27" i="3" l="1"/>
  <c r="H27" i="3" s="1"/>
  <c r="D28" i="3" s="1"/>
  <c r="G28" i="3" l="1"/>
  <c r="H28" i="3" s="1"/>
  <c r="D29" i="3" s="1"/>
  <c r="G29" i="3" l="1"/>
  <c r="H29" i="3" s="1"/>
  <c r="D30" i="3" s="1"/>
  <c r="G30" i="3" l="1"/>
  <c r="H30" i="3" s="1"/>
  <c r="D31" i="3" s="1"/>
  <c r="G31" i="3" l="1"/>
  <c r="H31" i="3" s="1"/>
  <c r="D32" i="3" s="1"/>
  <c r="G32" i="3" l="1"/>
  <c r="H32" i="3" s="1"/>
  <c r="D33" i="3" s="1"/>
  <c r="G33" i="3" l="1"/>
  <c r="H33" i="3" s="1"/>
  <c r="D34" i="3" s="1"/>
  <c r="G34" i="3" l="1"/>
  <c r="H34" i="3" s="1"/>
  <c r="D35" i="3" s="1"/>
  <c r="G35" i="3" l="1"/>
  <c r="H35" i="3" s="1"/>
  <c r="D36" i="3" s="1"/>
  <c r="G36" i="3" l="1"/>
  <c r="H36" i="3" s="1"/>
  <c r="D37" i="3" s="1"/>
  <c r="G37" i="3" l="1"/>
  <c r="H37" i="3" s="1"/>
  <c r="D38" i="3" s="1"/>
  <c r="G38" i="3" l="1"/>
  <c r="H38" i="3" s="1"/>
  <c r="D39" i="3" s="1"/>
  <c r="G39" i="3" l="1"/>
  <c r="H39" i="3" s="1"/>
  <c r="D40" i="3" s="1"/>
  <c r="G40" i="3" l="1"/>
  <c r="H40" i="3" s="1"/>
  <c r="D41" i="3" s="1"/>
  <c r="G41" i="3" l="1"/>
  <c r="H41" i="3" s="1"/>
  <c r="D42" i="3" s="1"/>
  <c r="G42" i="3" l="1"/>
  <c r="H42" i="3" s="1"/>
  <c r="D43" i="3" s="1"/>
  <c r="G43" i="3" l="1"/>
  <c r="H43" i="3" s="1"/>
  <c r="D44" i="3" s="1"/>
  <c r="G44" i="3" l="1"/>
  <c r="H44" i="3" s="1"/>
  <c r="D45" i="3" s="1"/>
  <c r="G45" i="3" l="1"/>
  <c r="H45" i="3" s="1"/>
  <c r="D46" i="3" s="1"/>
  <c r="G46" i="3" l="1"/>
  <c r="H46" i="3" s="1"/>
  <c r="D47" i="3" s="1"/>
  <c r="G47" i="3" l="1"/>
  <c r="H47" i="3" s="1"/>
  <c r="D48" i="3" s="1"/>
  <c r="G48" i="3" l="1"/>
  <c r="H48" i="3" s="1"/>
  <c r="D49" i="3" s="1"/>
  <c r="G49" i="3" l="1"/>
  <c r="H49" i="3" s="1"/>
  <c r="D50" i="3" s="1"/>
  <c r="G50" i="3" l="1"/>
  <c r="H50" i="3" s="1"/>
  <c r="D51" i="3" s="1"/>
  <c r="G51" i="3" l="1"/>
  <c r="H51" i="3" s="1"/>
  <c r="D52" i="3" s="1"/>
  <c r="G52" i="3" l="1"/>
  <c r="H52" i="3" s="1"/>
  <c r="D53" i="3" s="1"/>
  <c r="G53" i="3" l="1"/>
  <c r="H53" i="3" s="1"/>
  <c r="D54" i="3" s="1"/>
  <c r="G54" i="3" l="1"/>
  <c r="H54" i="3" s="1"/>
  <c r="D55" i="3" s="1"/>
  <c r="G55" i="3" l="1"/>
  <c r="H55" i="3" s="1"/>
  <c r="D56" i="3" s="1"/>
  <c r="G56" i="3" l="1"/>
  <c r="H56" i="3" s="1"/>
  <c r="D57" i="3" s="1"/>
  <c r="G57" i="3" l="1"/>
  <c r="H57" i="3" s="1"/>
  <c r="D58" i="3" s="1"/>
  <c r="G58" i="3" l="1"/>
  <c r="H58" i="3" s="1"/>
  <c r="D59" i="3" s="1"/>
  <c r="G59" i="3" l="1"/>
  <c r="H59" i="3" s="1"/>
  <c r="D60" i="3" s="1"/>
  <c r="G60" i="3" l="1"/>
  <c r="H60" i="3" s="1"/>
  <c r="D61" i="3" s="1"/>
  <c r="G61" i="3" l="1"/>
  <c r="H61" i="3" s="1"/>
  <c r="D62" i="3" s="1"/>
  <c r="G62" i="3" l="1"/>
  <c r="H62" i="3" s="1"/>
  <c r="D63" i="3" s="1"/>
  <c r="G63" i="3" l="1"/>
  <c r="H63" i="3" s="1"/>
  <c r="D64" i="3" s="1"/>
  <c r="G64" i="3" l="1"/>
  <c r="H64" i="3" s="1"/>
  <c r="D65" i="3" s="1"/>
  <c r="G65" i="3" l="1"/>
  <c r="H65" i="3" s="1"/>
  <c r="D66" i="3" s="1"/>
  <c r="G66" i="3" l="1"/>
  <c r="H66" i="3" s="1"/>
  <c r="D67" i="3" s="1"/>
  <c r="G67" i="3" l="1"/>
  <c r="H67" i="3" s="1"/>
  <c r="D68" i="3" s="1"/>
  <c r="G68" i="3" l="1"/>
  <c r="H68" i="3" s="1"/>
  <c r="D69" i="3" s="1"/>
  <c r="G69" i="3" l="1"/>
  <c r="H69" i="3" s="1"/>
  <c r="D70" i="3" s="1"/>
  <c r="G70" i="3" l="1"/>
  <c r="H70" i="3" s="1"/>
  <c r="D71" i="3" s="1"/>
  <c r="G71" i="3" l="1"/>
  <c r="H71" i="3" s="1"/>
  <c r="D72" i="3" s="1"/>
  <c r="G72" i="3" l="1"/>
  <c r="H72" i="3" s="1"/>
  <c r="D73" i="3" s="1"/>
  <c r="G73" i="3" l="1"/>
  <c r="H73" i="3" s="1"/>
  <c r="D74" i="3" s="1"/>
  <c r="G74" i="3" l="1"/>
  <c r="H74" i="3" s="1"/>
  <c r="D75" i="3" s="1"/>
  <c r="G75" i="3" l="1"/>
  <c r="H75" i="3" s="1"/>
  <c r="D76" i="3" s="1"/>
  <c r="G76" i="3" l="1"/>
  <c r="H76" i="3" s="1"/>
  <c r="D77" i="3" s="1"/>
  <c r="G77" i="3" l="1"/>
  <c r="H77" i="3" s="1"/>
  <c r="D78" i="3" s="1"/>
  <c r="G78" i="3" l="1"/>
  <c r="H78" i="3" s="1"/>
  <c r="D79" i="3" s="1"/>
  <c r="G79" i="3" l="1"/>
  <c r="H79" i="3" s="1"/>
  <c r="D80" i="3" s="1"/>
  <c r="G80" i="3" l="1"/>
  <c r="H80" i="3" s="1"/>
  <c r="D81" i="3" s="1"/>
  <c r="G81" i="3" l="1"/>
  <c r="H81" i="3" s="1"/>
  <c r="D82" i="3" s="1"/>
  <c r="G82" i="3" l="1"/>
  <c r="H82" i="3" s="1"/>
  <c r="D83" i="3" s="1"/>
  <c r="G83" i="3" l="1"/>
  <c r="H83" i="3" s="1"/>
  <c r="D84" i="3" s="1"/>
  <c r="G84" i="3" l="1"/>
  <c r="H84" i="3" s="1"/>
  <c r="F5" i="3" l="1"/>
  <c r="F6" i="3" s="1"/>
</calcChain>
</file>

<file path=xl/sharedStrings.xml><?xml version="1.0" encoding="utf-8"?>
<sst xmlns="http://schemas.openxmlformats.org/spreadsheetml/2006/main" count="23" uniqueCount="23">
  <si>
    <t>Current Annual Income</t>
  </si>
  <si>
    <t>Current Age</t>
  </si>
  <si>
    <t>Current Retirement Savings</t>
  </si>
  <si>
    <t>Assumed Rate of Return</t>
  </si>
  <si>
    <t>Desired Savings at Death</t>
  </si>
  <si>
    <t>Actual Savings at Death</t>
  </si>
  <si>
    <t>Surplus/(Deficit)</t>
  </si>
  <si>
    <t>Assumed Inflation Rate</t>
  </si>
  <si>
    <t>Beg. Age</t>
  </si>
  <si>
    <t>Salary</t>
  </si>
  <si>
    <t>Beg. Ret. Savings</t>
  </si>
  <si>
    <t>Return</t>
  </si>
  <si>
    <t>End. Ret. Savings</t>
  </si>
  <si>
    <t>Retirement Age</t>
  </si>
  <si>
    <t>Death Age</t>
  </si>
  <si>
    <t>% of Annual Income Contributed</t>
  </si>
  <si>
    <t>Deposit (Assumed EoY)</t>
  </si>
  <si>
    <t>Withdrawal (Assumed BoY)</t>
  </si>
  <si>
    <t>End. Age</t>
  </si>
  <si>
    <t>Assumed Real Annual Raise</t>
  </si>
  <si>
    <t>% of Income Needed for Retirement</t>
  </si>
  <si>
    <t>Necessary Annual Incomeat Ret.</t>
  </si>
  <si>
    <t xml:space="preserve">              Retirement Calculator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</si>
</sst>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8" formatCode="&quot;$&quot;#,##0.00_);[Red]\(&quot;$&quot;#,##0.00\)"/>
    <numFmt numFmtId="164" formatCode="&quot;$&quot;#,##0.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20"/>
      <color theme="1"/>
      <name val="Georgia"/>
      <family val="1"/>
    </font>
    <font>
      <sz val="11"/>
      <color rgb="FF003366"/>
      <name val="Calibri"/>
      <family val="2"/>
    </font>
    <font>
      <sz val="11"/>
      <color rgb="FFFF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0" fontId="2" fillId="2" borderId="0" applyNumberFormat="0" applyBorder="0" applyAlignment="0" applyProtection="0"/>
  </cellStyleXfs>
  <cellXfs count="24">
    <xf numFmtId="0" fontId="0" fillId="0" borderId="0" xfId="0"/>
    <xf numFmtId="0" fontId="0" fillId="0" borderId="0" xfId="0" applyFont="1"/>
    <xf numFmtId="0" fontId="0" fillId="0" borderId="0" xfId="0" applyFont="1" applyFill="1" applyBorder="1" applyAlignment="1">
      <alignment horizontal="center" vertical="center"/>
    </xf>
    <xf numFmtId="164" fontId="0" fillId="0" borderId="0" xfId="0" applyNumberFormat="1" applyFont="1" applyFill="1" applyBorder="1" applyAlignment="1">
      <alignment horizontal="center" vertical="center"/>
    </xf>
    <xf numFmtId="0" fontId="0" fillId="0" borderId="0" xfId="0" applyFont="1" applyBorder="1"/>
    <xf numFmtId="0" fontId="0" fillId="3" borderId="0" xfId="0" applyFont="1" applyFill="1" applyBorder="1"/>
    <xf numFmtId="164" fontId="1" fillId="3" borderId="0" xfId="0" applyNumberFormat="1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3" borderId="0" xfId="0" applyFont="1" applyFill="1" applyBorder="1" applyAlignment="1">
      <alignment horizontal="center" vertical="center"/>
    </xf>
    <xf numFmtId="10" fontId="1" fillId="3" borderId="0" xfId="0" applyNumberFormat="1" applyFont="1" applyFill="1" applyBorder="1" applyAlignment="1">
      <alignment horizontal="center" vertical="center"/>
    </xf>
    <xf numFmtId="0" fontId="1" fillId="3" borderId="0" xfId="0" applyFont="1" applyFill="1" applyBorder="1" applyAlignment="1">
      <alignment horizontal="center" vertical="center"/>
    </xf>
    <xf numFmtId="8" fontId="1" fillId="3" borderId="0" xfId="0" applyNumberFormat="1" applyFont="1" applyFill="1" applyBorder="1" applyAlignment="1">
      <alignment horizontal="center" vertical="center"/>
    </xf>
    <xf numFmtId="10" fontId="1" fillId="3" borderId="0" xfId="1" applyNumberFormat="1" applyFon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center" vertical="center" wrapText="1"/>
    </xf>
    <xf numFmtId="0" fontId="0" fillId="5" borderId="0" xfId="0" applyFont="1" applyFill="1" applyBorder="1"/>
    <xf numFmtId="0" fontId="0" fillId="5" borderId="0" xfId="0" applyFont="1" applyFill="1"/>
    <xf numFmtId="0" fontId="5" fillId="5" borderId="0" xfId="0" applyFont="1" applyFill="1" applyBorder="1" applyAlignment="1"/>
    <xf numFmtId="0" fontId="2" fillId="5" borderId="0" xfId="2" applyFill="1"/>
    <xf numFmtId="0" fontId="2" fillId="4" borderId="0" xfId="2" applyFill="1" applyBorder="1" applyAlignment="1">
      <alignment horizontal="center" vertical="center"/>
    </xf>
    <xf numFmtId="164" fontId="2" fillId="4" borderId="0" xfId="2" applyNumberFormat="1" applyFill="1" applyBorder="1" applyAlignment="1">
      <alignment horizontal="center" vertical="center"/>
    </xf>
    <xf numFmtId="0" fontId="0" fillId="4" borderId="0" xfId="0" applyFont="1" applyFill="1" applyBorder="1"/>
    <xf numFmtId="0" fontId="2" fillId="4" borderId="0" xfId="2" applyFill="1" applyBorder="1"/>
    <xf numFmtId="0" fontId="6" fillId="5" borderId="0" xfId="0" applyFont="1" applyFill="1" applyBorder="1" applyAlignment="1">
      <alignment horizontal="left"/>
    </xf>
    <xf numFmtId="0" fontId="0" fillId="5" borderId="0" xfId="0" applyFont="1" applyFill="1" applyBorder="1" applyAlignment="1">
      <alignment horizontal="left"/>
    </xf>
  </cellXfs>
  <cellStyles count="3">
    <cellStyle name="20% - Accent1" xfId="2" builtinId="30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00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604838</xdr:colOff>
          <xdr:row>8</xdr:row>
          <xdr:rowOff>33338</xdr:rowOff>
        </xdr:from>
        <xdr:to>
          <xdr:col>6</xdr:col>
          <xdr:colOff>757238</xdr:colOff>
          <xdr:row>13</xdr:row>
          <xdr:rowOff>42863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3366"/>
                  </a:solidFill>
                  <a:latin typeface="Calibri"/>
                  <a:cs typeface="Calibri"/>
                </a:rPr>
                <a:t>Bob Ross it</a:t>
              </a: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 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3174</xdr:colOff>
      <xdr:row>0</xdr:row>
      <xdr:rowOff>0</xdr:rowOff>
    </xdr:from>
    <xdr:to>
      <xdr:col>9</xdr:col>
      <xdr:colOff>17463</xdr:colOff>
      <xdr:row>15</xdr:row>
      <xdr:rowOff>21165</xdr:rowOff>
    </xdr:to>
    <xdr:pic>
      <xdr:nvPicPr>
        <xdr:cNvPr id="10" name="Picture 9" descr="Image result for bob ross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6092" y="0"/>
          <a:ext cx="2670704" cy="28363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I104"/>
  <sheetViews>
    <sheetView tabSelected="1" topLeftCell="A2" zoomScale="87" zoomScaleNormal="87" workbookViewId="0">
      <selection activeCell="B15" sqref="B15"/>
    </sheetView>
  </sheetViews>
  <sheetFormatPr defaultColWidth="9.1328125" defaultRowHeight="14.25" x14ac:dyDescent="0.45"/>
  <cols>
    <col min="1" max="1" width="9.1328125" style="1"/>
    <col min="2" max="2" width="11" style="4" customWidth="1"/>
    <col min="3" max="3" width="33.265625" style="4" bestFit="1" customWidth="1"/>
    <col min="4" max="4" width="15.265625" style="4" customWidth="1"/>
    <col min="5" max="5" width="15.59765625" style="4" customWidth="1"/>
    <col min="6" max="6" width="18.59765625" style="4" customWidth="1"/>
    <col min="7" max="7" width="22.265625" style="4" customWidth="1"/>
    <col min="8" max="8" width="24.796875" style="4" customWidth="1"/>
    <col min="9" max="9" width="12.3984375" style="4" customWidth="1"/>
    <col min="10" max="16384" width="9.1328125" style="1"/>
  </cols>
  <sheetData>
    <row r="1" spans="1:9" s="15" customFormat="1" x14ac:dyDescent="0.45">
      <c r="A1" s="22" t="s">
        <v>22</v>
      </c>
      <c r="B1" s="23"/>
      <c r="C1" s="23"/>
      <c r="D1" s="23"/>
      <c r="E1" s="23"/>
      <c r="F1" s="23"/>
      <c r="G1" s="23"/>
      <c r="H1" s="14"/>
      <c r="I1" s="14"/>
    </row>
    <row r="2" spans="1:9" s="15" customFormat="1" x14ac:dyDescent="0.45">
      <c r="A2" s="23"/>
      <c r="B2" s="23"/>
      <c r="C2" s="23"/>
      <c r="D2" s="23"/>
      <c r="E2" s="23"/>
      <c r="F2" s="23"/>
      <c r="G2" s="23"/>
      <c r="H2" s="14"/>
      <c r="I2" s="14"/>
    </row>
    <row r="3" spans="1:9" s="15" customFormat="1" ht="23.25" x14ac:dyDescent="0.7">
      <c r="A3" s="23"/>
      <c r="B3" s="23"/>
      <c r="C3" s="23"/>
      <c r="D3" s="23"/>
      <c r="E3" s="23"/>
      <c r="F3" s="23"/>
      <c r="G3" s="23"/>
      <c r="H3" s="16"/>
      <c r="I3" s="16"/>
    </row>
    <row r="4" spans="1:9" s="15" customFormat="1" x14ac:dyDescent="0.45">
      <c r="A4" s="5"/>
      <c r="B4" s="6">
        <v>52300</v>
      </c>
      <c r="C4" s="7" t="s">
        <v>0</v>
      </c>
      <c r="D4" s="7"/>
      <c r="E4" s="8"/>
      <c r="F4" s="6">
        <v>8000000</v>
      </c>
      <c r="G4" s="7" t="s">
        <v>4</v>
      </c>
      <c r="H4" s="7"/>
      <c r="I4" s="8"/>
    </row>
    <row r="5" spans="1:9" s="15" customFormat="1" x14ac:dyDescent="0.45">
      <c r="A5" s="5"/>
      <c r="B5" s="9">
        <v>1.4999999999999999E-2</v>
      </c>
      <c r="C5" s="7" t="s">
        <v>19</v>
      </c>
      <c r="D5" s="7"/>
      <c r="E5" s="8"/>
      <c r="F5" s="6">
        <f>VLOOKUP(B8,$B$17:$H$199,7,FALSE)</f>
        <v>-12081489.919702532</v>
      </c>
      <c r="G5" s="7" t="s">
        <v>5</v>
      </c>
      <c r="H5" s="7"/>
      <c r="I5" s="8"/>
    </row>
    <row r="6" spans="1:9" s="15" customFormat="1" x14ac:dyDescent="0.45">
      <c r="A6" s="5"/>
      <c r="B6" s="10">
        <v>26</v>
      </c>
      <c r="C6" s="7" t="s">
        <v>1</v>
      </c>
      <c r="D6" s="7"/>
      <c r="E6" s="8"/>
      <c r="F6" s="11">
        <f>F5-F4</f>
        <v>-20081489.91970253</v>
      </c>
      <c r="G6" s="7" t="s">
        <v>6</v>
      </c>
      <c r="H6" s="7"/>
      <c r="I6" s="8"/>
    </row>
    <row r="7" spans="1:9" s="15" customFormat="1" x14ac:dyDescent="0.45">
      <c r="A7" s="5"/>
      <c r="B7" s="10">
        <v>67</v>
      </c>
      <c r="C7" s="7" t="s">
        <v>13</v>
      </c>
      <c r="D7" s="5"/>
      <c r="E7" s="8"/>
      <c r="F7" s="8">
        <v>0</v>
      </c>
      <c r="G7" s="7"/>
      <c r="H7" s="8"/>
      <c r="I7" s="8"/>
    </row>
    <row r="8" spans="1:9" s="15" customFormat="1" x14ac:dyDescent="0.45">
      <c r="A8" s="5"/>
      <c r="B8" s="10">
        <v>93</v>
      </c>
      <c r="C8" s="7" t="s">
        <v>14</v>
      </c>
      <c r="D8" s="7"/>
      <c r="E8" s="8"/>
      <c r="F8" s="8"/>
      <c r="G8" s="7"/>
      <c r="H8" s="8"/>
      <c r="I8" s="8"/>
    </row>
    <row r="9" spans="1:9" s="15" customFormat="1" x14ac:dyDescent="0.45">
      <c r="A9" s="5"/>
      <c r="B9" s="6">
        <v>5627.16</v>
      </c>
      <c r="C9" s="7" t="s">
        <v>2</v>
      </c>
      <c r="D9" s="7"/>
      <c r="E9" s="8"/>
      <c r="F9" s="12"/>
      <c r="G9" s="7"/>
      <c r="H9" s="8"/>
      <c r="I9" s="8"/>
    </row>
    <row r="10" spans="1:9" s="15" customFormat="1" x14ac:dyDescent="0.45">
      <c r="A10" s="5"/>
      <c r="B10" s="9">
        <v>3.5000000000000003E-2</v>
      </c>
      <c r="C10" s="7" t="s">
        <v>3</v>
      </c>
      <c r="D10" s="7"/>
      <c r="E10" s="8"/>
      <c r="F10" s="8"/>
      <c r="G10" s="8"/>
      <c r="H10" s="8"/>
      <c r="I10" s="8"/>
    </row>
    <row r="11" spans="1:9" s="15" customFormat="1" x14ac:dyDescent="0.45">
      <c r="A11" s="5"/>
      <c r="B11" s="9">
        <v>2.1700000000000001E-2</v>
      </c>
      <c r="C11" s="7" t="s">
        <v>7</v>
      </c>
      <c r="D11" s="7"/>
      <c r="E11" s="8"/>
      <c r="F11" s="7"/>
      <c r="G11" s="8"/>
      <c r="H11" s="8"/>
      <c r="I11" s="8"/>
    </row>
    <row r="12" spans="1:9" s="15" customFormat="1" x14ac:dyDescent="0.45">
      <c r="A12" s="5"/>
      <c r="B12" s="9">
        <v>0.8</v>
      </c>
      <c r="C12" s="7" t="s">
        <v>20</v>
      </c>
      <c r="D12" s="7"/>
      <c r="E12" s="8"/>
      <c r="F12" s="8"/>
      <c r="G12" s="8"/>
      <c r="H12" s="8"/>
      <c r="I12" s="8"/>
    </row>
    <row r="13" spans="1:9" s="15" customFormat="1" x14ac:dyDescent="0.45">
      <c r="A13" s="5"/>
      <c r="B13" s="6">
        <f>B4*B12</f>
        <v>41840</v>
      </c>
      <c r="C13" s="7" t="s">
        <v>21</v>
      </c>
      <c r="D13" s="7"/>
      <c r="E13" s="8"/>
      <c r="F13" s="8"/>
      <c r="G13" s="8"/>
      <c r="H13" s="8"/>
      <c r="I13" s="8"/>
    </row>
    <row r="14" spans="1:9" s="15" customFormat="1" x14ac:dyDescent="0.45">
      <c r="A14" s="5"/>
      <c r="B14" s="12">
        <v>0.03</v>
      </c>
      <c r="C14" s="7" t="s">
        <v>15</v>
      </c>
      <c r="D14" s="7"/>
      <c r="E14" s="8"/>
      <c r="F14" s="8"/>
      <c r="G14" s="8"/>
      <c r="H14" s="8"/>
      <c r="I14" s="8"/>
    </row>
    <row r="15" spans="1:9" s="15" customFormat="1" x14ac:dyDescent="0.45">
      <c r="A15" s="5"/>
      <c r="B15" s="8">
        <v>0</v>
      </c>
      <c r="C15" s="8"/>
      <c r="D15" s="8"/>
      <c r="E15" s="8"/>
      <c r="F15" s="8"/>
      <c r="G15" s="8"/>
      <c r="H15" s="8"/>
      <c r="I15" s="8"/>
    </row>
    <row r="16" spans="1:9" s="15" customFormat="1" ht="48.75" customHeight="1" x14ac:dyDescent="0.45">
      <c r="A16" s="20"/>
      <c r="B16" s="13" t="s">
        <v>8</v>
      </c>
      <c r="C16" s="13" t="s">
        <v>9</v>
      </c>
      <c r="D16" s="13" t="s">
        <v>10</v>
      </c>
      <c r="E16" s="13" t="s">
        <v>16</v>
      </c>
      <c r="F16" s="13" t="s">
        <v>17</v>
      </c>
      <c r="G16" s="13" t="s">
        <v>11</v>
      </c>
      <c r="H16" s="13" t="s">
        <v>12</v>
      </c>
      <c r="I16" s="13" t="s">
        <v>18</v>
      </c>
    </row>
    <row r="17" spans="1:9" s="17" customFormat="1" x14ac:dyDescent="0.45">
      <c r="A17" s="21"/>
      <c r="B17" s="18">
        <v>26</v>
      </c>
      <c r="C17" s="19">
        <f>B4</f>
        <v>52300</v>
      </c>
      <c r="D17" s="19">
        <f>B9</f>
        <v>5627.16</v>
      </c>
      <c r="E17" s="19">
        <f>IF(B17="","",$B$14*C17)</f>
        <v>1569</v>
      </c>
      <c r="F17" s="19">
        <f>IF(B17="","",IF(B17&gt;=$B$7,-$B$13*(1+$B$5+$B$11)^(B17-$B$17),0))</f>
        <v>0</v>
      </c>
      <c r="G17" s="19">
        <f>IF(B17="","",$B$10*(D17+F17))</f>
        <v>196.95060000000001</v>
      </c>
      <c r="H17" s="19">
        <f>IF(B17="","",D17+E17+F17+G17)</f>
        <v>7393.1106</v>
      </c>
      <c r="I17" s="18">
        <f>IF(B17="","",B17+1)</f>
        <v>27</v>
      </c>
    </row>
    <row r="18" spans="1:9" s="17" customFormat="1" x14ac:dyDescent="0.45">
      <c r="A18" s="21"/>
      <c r="B18" s="18">
        <f>IF(B17="","",IF(B17+1&lt;=$B$8,B17+1,""))</f>
        <v>27</v>
      </c>
      <c r="C18" s="19">
        <f>IF(B18="","",IF(B18&lt;$B$7,$B$4*(1+$B$5+$B$11)^(B18-$B$17),0))</f>
        <v>54219.409999999996</v>
      </c>
      <c r="D18" s="19">
        <f>IF(B18="","",H17)</f>
        <v>7393.1106</v>
      </c>
      <c r="E18" s="19">
        <f t="shared" ref="E18:E81" si="0">IF(B18="","",$B$14*C18)</f>
        <v>1626.5822999999998</v>
      </c>
      <c r="F18" s="19">
        <f t="shared" ref="F18:F81" si="1">IF(B18="","",IF(B18&gt;=$B$7,-$B$13*(1+$B$5+$B$11)^(B18-$B$17),0))</f>
        <v>0</v>
      </c>
      <c r="G18" s="19">
        <f t="shared" ref="G18:G81" si="2">IF(B18="","",$B$10*(D18+F18))</f>
        <v>258.758871</v>
      </c>
      <c r="H18" s="19">
        <f t="shared" ref="H18:H81" si="3">IF(B18="","",D18+E18+F18+G18)</f>
        <v>9278.451771</v>
      </c>
      <c r="I18" s="18">
        <f t="shared" ref="I18:I81" si="4">IF(B18="","",B18+1)</f>
        <v>28</v>
      </c>
    </row>
    <row r="19" spans="1:9" s="17" customFormat="1" x14ac:dyDescent="0.45">
      <c r="A19" s="21"/>
      <c r="B19" s="18">
        <f t="shared" ref="B19:B82" si="5">IF(B18="","",IF(B18+1&lt;=$B$8,B18+1,""))</f>
        <v>28</v>
      </c>
      <c r="C19" s="19">
        <f t="shared" ref="C19:C82" si="6">IF(B19="","",IF(B19&lt;$B$7,$B$4*(1+$B$5+$B$11)^(B19-$B$17),0))</f>
        <v>56209.262346999996</v>
      </c>
      <c r="D19" s="19">
        <f t="shared" ref="D19:D82" si="7">IF(B19="","",H18)</f>
        <v>9278.451771</v>
      </c>
      <c r="E19" s="19">
        <f t="shared" si="0"/>
        <v>1686.2778704099999</v>
      </c>
      <c r="F19" s="19">
        <f t="shared" si="1"/>
        <v>0</v>
      </c>
      <c r="G19" s="19">
        <f t="shared" si="2"/>
        <v>324.74581198500005</v>
      </c>
      <c r="H19" s="19">
        <f t="shared" si="3"/>
        <v>11289.475453395</v>
      </c>
      <c r="I19" s="18">
        <f t="shared" si="4"/>
        <v>29</v>
      </c>
    </row>
    <row r="20" spans="1:9" s="17" customFormat="1" x14ac:dyDescent="0.45">
      <c r="A20" s="21"/>
      <c r="B20" s="18">
        <f t="shared" si="5"/>
        <v>29</v>
      </c>
      <c r="C20" s="19">
        <f t="shared" si="6"/>
        <v>58272.142275134887</v>
      </c>
      <c r="D20" s="19">
        <f t="shared" si="7"/>
        <v>11289.475453395</v>
      </c>
      <c r="E20" s="19">
        <f t="shared" si="0"/>
        <v>1748.1642682540466</v>
      </c>
      <c r="F20" s="19">
        <f t="shared" si="1"/>
        <v>0</v>
      </c>
      <c r="G20" s="19">
        <f t="shared" si="2"/>
        <v>395.13164086882506</v>
      </c>
      <c r="H20" s="19">
        <f t="shared" si="3"/>
        <v>13432.771362517871</v>
      </c>
      <c r="I20" s="18">
        <f t="shared" si="4"/>
        <v>30</v>
      </c>
    </row>
    <row r="21" spans="1:9" s="17" customFormat="1" x14ac:dyDescent="0.45">
      <c r="A21" s="21"/>
      <c r="B21" s="18">
        <f t="shared" si="5"/>
        <v>30</v>
      </c>
      <c r="C21" s="19">
        <f t="shared" si="6"/>
        <v>60410.729896632343</v>
      </c>
      <c r="D21" s="19">
        <f t="shared" si="7"/>
        <v>13432.771362517871</v>
      </c>
      <c r="E21" s="19">
        <f t="shared" si="0"/>
        <v>1812.3218968989702</v>
      </c>
      <c r="F21" s="19">
        <f t="shared" si="1"/>
        <v>0</v>
      </c>
      <c r="G21" s="19">
        <f t="shared" si="2"/>
        <v>470.14699768812557</v>
      </c>
      <c r="H21" s="19">
        <f t="shared" si="3"/>
        <v>15715.240257104966</v>
      </c>
      <c r="I21" s="18">
        <f t="shared" si="4"/>
        <v>31</v>
      </c>
    </row>
    <row r="22" spans="1:9" s="17" customFormat="1" x14ac:dyDescent="0.45">
      <c r="A22" s="21"/>
      <c r="B22" s="18">
        <f t="shared" si="5"/>
        <v>31</v>
      </c>
      <c r="C22" s="19">
        <f t="shared" si="6"/>
        <v>62627.803683838742</v>
      </c>
      <c r="D22" s="19">
        <f t="shared" si="7"/>
        <v>15715.240257104966</v>
      </c>
      <c r="E22" s="19">
        <f t="shared" si="0"/>
        <v>1878.8341105151621</v>
      </c>
      <c r="F22" s="19">
        <f t="shared" si="1"/>
        <v>0</v>
      </c>
      <c r="G22" s="19">
        <f t="shared" si="2"/>
        <v>550.03340899867385</v>
      </c>
      <c r="H22" s="19">
        <f t="shared" si="3"/>
        <v>18144.107776618803</v>
      </c>
      <c r="I22" s="18">
        <f t="shared" si="4"/>
        <v>32</v>
      </c>
    </row>
    <row r="23" spans="1:9" s="17" customFormat="1" x14ac:dyDescent="0.45">
      <c r="A23" s="21"/>
      <c r="B23" s="18">
        <f t="shared" si="5"/>
        <v>32</v>
      </c>
      <c r="C23" s="19">
        <f t="shared" si="6"/>
        <v>64926.24407903562</v>
      </c>
      <c r="D23" s="19">
        <f t="shared" si="7"/>
        <v>18144.107776618803</v>
      </c>
      <c r="E23" s="19">
        <f t="shared" si="0"/>
        <v>1947.7873223710685</v>
      </c>
      <c r="F23" s="19">
        <f t="shared" si="1"/>
        <v>0</v>
      </c>
      <c r="G23" s="19">
        <f t="shared" si="2"/>
        <v>635.04377218165814</v>
      </c>
      <c r="H23" s="19">
        <f t="shared" si="3"/>
        <v>20726.938871171533</v>
      </c>
      <c r="I23" s="18">
        <f t="shared" si="4"/>
        <v>33</v>
      </c>
    </row>
    <row r="24" spans="1:9" s="17" customFormat="1" x14ac:dyDescent="0.45">
      <c r="A24" s="21"/>
      <c r="B24" s="18">
        <f t="shared" si="5"/>
        <v>33</v>
      </c>
      <c r="C24" s="19">
        <f t="shared" si="6"/>
        <v>67309.037236736229</v>
      </c>
      <c r="D24" s="19">
        <f t="shared" si="7"/>
        <v>20726.938871171533</v>
      </c>
      <c r="E24" s="19">
        <f t="shared" si="0"/>
        <v>2019.2711171020867</v>
      </c>
      <c r="F24" s="19">
        <f t="shared" si="1"/>
        <v>0</v>
      </c>
      <c r="G24" s="19">
        <f t="shared" si="2"/>
        <v>725.44286049100367</v>
      </c>
      <c r="H24" s="19">
        <f t="shared" si="3"/>
        <v>23471.652848764621</v>
      </c>
      <c r="I24" s="18">
        <f t="shared" si="4"/>
        <v>34</v>
      </c>
    </row>
    <row r="25" spans="1:9" s="17" customFormat="1" x14ac:dyDescent="0.45">
      <c r="A25" s="21"/>
      <c r="B25" s="18">
        <f t="shared" si="5"/>
        <v>34</v>
      </c>
      <c r="C25" s="19">
        <f t="shared" si="6"/>
        <v>69779.278903324448</v>
      </c>
      <c r="D25" s="19">
        <f t="shared" si="7"/>
        <v>23471.652848764621</v>
      </c>
      <c r="E25" s="19">
        <f t="shared" si="0"/>
        <v>2093.3783670997332</v>
      </c>
      <c r="F25" s="19">
        <f t="shared" si="1"/>
        <v>0</v>
      </c>
      <c r="G25" s="19">
        <f t="shared" si="2"/>
        <v>821.50784970676182</v>
      </c>
      <c r="H25" s="19">
        <f t="shared" si="3"/>
        <v>26386.539065571116</v>
      </c>
      <c r="I25" s="18">
        <f t="shared" si="4"/>
        <v>35</v>
      </c>
    </row>
    <row r="26" spans="1:9" s="17" customFormat="1" x14ac:dyDescent="0.45">
      <c r="A26" s="21"/>
      <c r="B26" s="18">
        <f t="shared" si="5"/>
        <v>35</v>
      </c>
      <c r="C26" s="19">
        <f t="shared" si="6"/>
        <v>72340.178439076451</v>
      </c>
      <c r="D26" s="19">
        <f t="shared" si="7"/>
        <v>26386.539065571116</v>
      </c>
      <c r="E26" s="19">
        <f t="shared" si="0"/>
        <v>2170.2053531722936</v>
      </c>
      <c r="F26" s="19">
        <f t="shared" si="1"/>
        <v>0</v>
      </c>
      <c r="G26" s="19">
        <f t="shared" si="2"/>
        <v>923.52886729498914</v>
      </c>
      <c r="H26" s="19">
        <f t="shared" si="3"/>
        <v>29480.273286038399</v>
      </c>
      <c r="I26" s="18">
        <f t="shared" si="4"/>
        <v>36</v>
      </c>
    </row>
    <row r="27" spans="1:9" s="17" customFormat="1" x14ac:dyDescent="0.45">
      <c r="A27" s="21"/>
      <c r="B27" s="18">
        <f t="shared" si="5"/>
        <v>36</v>
      </c>
      <c r="C27" s="19">
        <f t="shared" si="6"/>
        <v>74995.062987790545</v>
      </c>
      <c r="D27" s="19">
        <f t="shared" si="7"/>
        <v>29480.273286038399</v>
      </c>
      <c r="E27" s="19">
        <f t="shared" si="0"/>
        <v>2249.8518896337164</v>
      </c>
      <c r="F27" s="19">
        <f t="shared" si="1"/>
        <v>0</v>
      </c>
      <c r="G27" s="19">
        <f t="shared" si="2"/>
        <v>1031.8095650113441</v>
      </c>
      <c r="H27" s="19">
        <f t="shared" si="3"/>
        <v>32761.934740683457</v>
      </c>
      <c r="I27" s="18">
        <f t="shared" si="4"/>
        <v>37</v>
      </c>
    </row>
    <row r="28" spans="1:9" s="17" customFormat="1" x14ac:dyDescent="0.45">
      <c r="A28" s="21"/>
      <c r="B28" s="18">
        <f t="shared" si="5"/>
        <v>37</v>
      </c>
      <c r="C28" s="19">
        <f t="shared" si="6"/>
        <v>77747.381799442446</v>
      </c>
      <c r="D28" s="19">
        <f t="shared" si="7"/>
        <v>32761.934740683457</v>
      </c>
      <c r="E28" s="19">
        <f t="shared" si="0"/>
        <v>2332.4214539832733</v>
      </c>
      <c r="F28" s="19">
        <f t="shared" si="1"/>
        <v>0</v>
      </c>
      <c r="G28" s="19">
        <f t="shared" si="2"/>
        <v>1146.6677159239212</v>
      </c>
      <c r="H28" s="19">
        <f t="shared" si="3"/>
        <v>36241.023910590651</v>
      </c>
      <c r="I28" s="18">
        <f t="shared" si="4"/>
        <v>38</v>
      </c>
    </row>
    <row r="29" spans="1:9" s="17" customFormat="1" x14ac:dyDescent="0.45">
      <c r="A29" s="21"/>
      <c r="B29" s="18">
        <f t="shared" si="5"/>
        <v>38</v>
      </c>
      <c r="C29" s="19">
        <f t="shared" si="6"/>
        <v>80600.710711481996</v>
      </c>
      <c r="D29" s="19">
        <f t="shared" si="7"/>
        <v>36241.023910590651</v>
      </c>
      <c r="E29" s="19">
        <f t="shared" si="0"/>
        <v>2418.0213213444599</v>
      </c>
      <c r="F29" s="19">
        <f t="shared" si="1"/>
        <v>0</v>
      </c>
      <c r="G29" s="19">
        <f t="shared" si="2"/>
        <v>1268.4358368706728</v>
      </c>
      <c r="H29" s="19">
        <f t="shared" si="3"/>
        <v>39927.481068805784</v>
      </c>
      <c r="I29" s="18">
        <f t="shared" si="4"/>
        <v>39</v>
      </c>
    </row>
    <row r="30" spans="1:9" s="17" customFormat="1" x14ac:dyDescent="0.45">
      <c r="A30" s="21"/>
      <c r="B30" s="18">
        <f t="shared" si="5"/>
        <v>39</v>
      </c>
      <c r="C30" s="19">
        <f t="shared" si="6"/>
        <v>83558.756794593384</v>
      </c>
      <c r="D30" s="19">
        <f t="shared" si="7"/>
        <v>39927.481068805784</v>
      </c>
      <c r="E30" s="19">
        <f t="shared" si="0"/>
        <v>2506.7627038378014</v>
      </c>
      <c r="F30" s="19">
        <f t="shared" si="1"/>
        <v>0</v>
      </c>
      <c r="G30" s="19">
        <f t="shared" si="2"/>
        <v>1397.4618374082027</v>
      </c>
      <c r="H30" s="19">
        <f t="shared" si="3"/>
        <v>43831.705610051795</v>
      </c>
      <c r="I30" s="18">
        <f t="shared" si="4"/>
        <v>40</v>
      </c>
    </row>
    <row r="31" spans="1:9" s="17" customFormat="1" x14ac:dyDescent="0.45">
      <c r="A31" s="21"/>
      <c r="B31" s="18">
        <f t="shared" si="5"/>
        <v>40</v>
      </c>
      <c r="C31" s="19">
        <f t="shared" si="6"/>
        <v>86625.363168954951</v>
      </c>
      <c r="D31" s="19">
        <f t="shared" si="7"/>
        <v>43831.705610051795</v>
      </c>
      <c r="E31" s="19">
        <f t="shared" si="0"/>
        <v>2598.7608950686486</v>
      </c>
      <c r="F31" s="19">
        <f t="shared" si="1"/>
        <v>0</v>
      </c>
      <c r="G31" s="19">
        <f t="shared" si="2"/>
        <v>1534.109696351813</v>
      </c>
      <c r="H31" s="19">
        <f t="shared" si="3"/>
        <v>47964.576201472257</v>
      </c>
      <c r="I31" s="18">
        <f t="shared" si="4"/>
        <v>41</v>
      </c>
    </row>
    <row r="32" spans="1:9" s="17" customFormat="1" x14ac:dyDescent="0.45">
      <c r="A32" s="21"/>
      <c r="B32" s="18">
        <f t="shared" si="5"/>
        <v>41</v>
      </c>
      <c r="C32" s="19">
        <f t="shared" si="6"/>
        <v>89804.513997255592</v>
      </c>
      <c r="D32" s="19">
        <f t="shared" si="7"/>
        <v>47964.576201472257</v>
      </c>
      <c r="E32" s="19">
        <f t="shared" si="0"/>
        <v>2694.1354199176676</v>
      </c>
      <c r="F32" s="19">
        <f t="shared" si="1"/>
        <v>0</v>
      </c>
      <c r="G32" s="19">
        <f t="shared" si="2"/>
        <v>1678.7601670515292</v>
      </c>
      <c r="H32" s="19">
        <f t="shared" si="3"/>
        <v>52337.471788441457</v>
      </c>
      <c r="I32" s="18">
        <f t="shared" si="4"/>
        <v>42</v>
      </c>
    </row>
    <row r="33" spans="1:9" s="17" customFormat="1" x14ac:dyDescent="0.45">
      <c r="A33" s="21"/>
      <c r="B33" s="18">
        <f t="shared" si="5"/>
        <v>42</v>
      </c>
      <c r="C33" s="19">
        <f t="shared" si="6"/>
        <v>93100.33966095488</v>
      </c>
      <c r="D33" s="19">
        <f t="shared" si="7"/>
        <v>52337.471788441457</v>
      </c>
      <c r="E33" s="19">
        <f t="shared" si="0"/>
        <v>2793.0101898286462</v>
      </c>
      <c r="F33" s="19">
        <f t="shared" si="1"/>
        <v>0</v>
      </c>
      <c r="G33" s="19">
        <f t="shared" si="2"/>
        <v>1831.8115125954512</v>
      </c>
      <c r="H33" s="19">
        <f t="shared" si="3"/>
        <v>56962.293490865552</v>
      </c>
      <c r="I33" s="18">
        <f t="shared" si="4"/>
        <v>43</v>
      </c>
    </row>
    <row r="34" spans="1:9" s="17" customFormat="1" x14ac:dyDescent="0.45">
      <c r="A34" s="21"/>
      <c r="B34" s="18">
        <f t="shared" si="5"/>
        <v>43</v>
      </c>
      <c r="C34" s="19">
        <f t="shared" si="6"/>
        <v>96517.122126511924</v>
      </c>
      <c r="D34" s="19">
        <f t="shared" si="7"/>
        <v>56962.293490865552</v>
      </c>
      <c r="E34" s="19">
        <f t="shared" si="0"/>
        <v>2895.5136637953574</v>
      </c>
      <c r="F34" s="19">
        <f t="shared" si="1"/>
        <v>0</v>
      </c>
      <c r="G34" s="19">
        <f t="shared" si="2"/>
        <v>1993.6802721802944</v>
      </c>
      <c r="H34" s="19">
        <f t="shared" si="3"/>
        <v>61851.487426841202</v>
      </c>
      <c r="I34" s="18">
        <f t="shared" si="4"/>
        <v>44</v>
      </c>
    </row>
    <row r="35" spans="1:9" s="17" customFormat="1" x14ac:dyDescent="0.45">
      <c r="A35" s="21"/>
      <c r="B35" s="18">
        <f t="shared" si="5"/>
        <v>44</v>
      </c>
      <c r="C35" s="19">
        <f t="shared" si="6"/>
        <v>100059.30050855491</v>
      </c>
      <c r="D35" s="19">
        <f t="shared" si="7"/>
        <v>61851.487426841202</v>
      </c>
      <c r="E35" s="19">
        <f t="shared" si="0"/>
        <v>3001.7790152566472</v>
      </c>
      <c r="F35" s="19">
        <f t="shared" si="1"/>
        <v>0</v>
      </c>
      <c r="G35" s="19">
        <f t="shared" si="2"/>
        <v>2164.8020599394422</v>
      </c>
      <c r="H35" s="19">
        <f t="shared" si="3"/>
        <v>67018.068502037291</v>
      </c>
      <c r="I35" s="18">
        <f t="shared" si="4"/>
        <v>45</v>
      </c>
    </row>
    <row r="36" spans="1:9" s="17" customFormat="1" x14ac:dyDescent="0.45">
      <c r="A36" s="21"/>
      <c r="B36" s="18">
        <f t="shared" si="5"/>
        <v>45</v>
      </c>
      <c r="C36" s="19">
        <f t="shared" si="6"/>
        <v>103731.47683721886</v>
      </c>
      <c r="D36" s="19">
        <f t="shared" si="7"/>
        <v>67018.068502037291</v>
      </c>
      <c r="E36" s="19">
        <f t="shared" si="0"/>
        <v>3111.9443051165654</v>
      </c>
      <c r="F36" s="19">
        <f t="shared" si="1"/>
        <v>0</v>
      </c>
      <c r="G36" s="19">
        <f t="shared" si="2"/>
        <v>2345.6323975713053</v>
      </c>
      <c r="H36" s="19">
        <f t="shared" si="3"/>
        <v>72475.645204725166</v>
      </c>
      <c r="I36" s="18">
        <f t="shared" si="4"/>
        <v>46</v>
      </c>
    </row>
    <row r="37" spans="1:9" s="17" customFormat="1" x14ac:dyDescent="0.45">
      <c r="A37" s="21"/>
      <c r="B37" s="18">
        <f t="shared" si="5"/>
        <v>46</v>
      </c>
      <c r="C37" s="19">
        <f t="shared" si="6"/>
        <v>107538.4220371448</v>
      </c>
      <c r="D37" s="19">
        <f t="shared" si="7"/>
        <v>72475.645204725166</v>
      </c>
      <c r="E37" s="19">
        <f t="shared" si="0"/>
        <v>3226.152661114344</v>
      </c>
      <c r="F37" s="19">
        <f t="shared" si="1"/>
        <v>0</v>
      </c>
      <c r="G37" s="19">
        <f t="shared" si="2"/>
        <v>2536.6475821653812</v>
      </c>
      <c r="H37" s="19">
        <f t="shared" si="3"/>
        <v>78238.445448004903</v>
      </c>
      <c r="I37" s="18">
        <f t="shared" si="4"/>
        <v>47</v>
      </c>
    </row>
    <row r="38" spans="1:9" s="17" customFormat="1" x14ac:dyDescent="0.45">
      <c r="A38" s="21"/>
      <c r="B38" s="18">
        <f t="shared" si="5"/>
        <v>47</v>
      </c>
      <c r="C38" s="19">
        <f t="shared" si="6"/>
        <v>111485.082125908</v>
      </c>
      <c r="D38" s="19">
        <f t="shared" si="7"/>
        <v>78238.445448004903</v>
      </c>
      <c r="E38" s="19">
        <f t="shared" si="0"/>
        <v>3344.5524637772396</v>
      </c>
      <c r="F38" s="19">
        <f t="shared" si="1"/>
        <v>0</v>
      </c>
      <c r="G38" s="19">
        <f t="shared" si="2"/>
        <v>2738.3455906801719</v>
      </c>
      <c r="H38" s="19">
        <f t="shared" si="3"/>
        <v>84321.343502462318</v>
      </c>
      <c r="I38" s="18">
        <f t="shared" si="4"/>
        <v>48</v>
      </c>
    </row>
    <row r="39" spans="1:9" s="17" customFormat="1" x14ac:dyDescent="0.45">
      <c r="A39" s="21"/>
      <c r="B39" s="18">
        <f t="shared" si="5"/>
        <v>48</v>
      </c>
      <c r="C39" s="19">
        <f t="shared" si="6"/>
        <v>115576.5846399288</v>
      </c>
      <c r="D39" s="19">
        <f t="shared" si="7"/>
        <v>84321.343502462318</v>
      </c>
      <c r="E39" s="19">
        <f t="shared" si="0"/>
        <v>3467.2975391978639</v>
      </c>
      <c r="F39" s="19">
        <f t="shared" si="1"/>
        <v>0</v>
      </c>
      <c r="G39" s="19">
        <f t="shared" si="2"/>
        <v>2951.2470225861812</v>
      </c>
      <c r="H39" s="19">
        <f t="shared" si="3"/>
        <v>90739.888064246363</v>
      </c>
      <c r="I39" s="18">
        <f t="shared" si="4"/>
        <v>49</v>
      </c>
    </row>
    <row r="40" spans="1:9" s="17" customFormat="1" x14ac:dyDescent="0.45">
      <c r="A40" s="21"/>
      <c r="B40" s="18">
        <f t="shared" si="5"/>
        <v>49</v>
      </c>
      <c r="C40" s="19">
        <f t="shared" si="6"/>
        <v>119818.2452962142</v>
      </c>
      <c r="D40" s="19">
        <f t="shared" si="7"/>
        <v>90739.888064246363</v>
      </c>
      <c r="E40" s="19">
        <f t="shared" si="0"/>
        <v>3594.5473588864256</v>
      </c>
      <c r="F40" s="19">
        <f t="shared" si="1"/>
        <v>0</v>
      </c>
      <c r="G40" s="19">
        <f t="shared" si="2"/>
        <v>3175.8960822486229</v>
      </c>
      <c r="H40" s="19">
        <f t="shared" si="3"/>
        <v>97510.331505381415</v>
      </c>
      <c r="I40" s="18">
        <f t="shared" si="4"/>
        <v>50</v>
      </c>
    </row>
    <row r="41" spans="1:9" s="17" customFormat="1" x14ac:dyDescent="0.45">
      <c r="A41" s="21"/>
      <c r="B41" s="18">
        <f t="shared" si="5"/>
        <v>50</v>
      </c>
      <c r="C41" s="19">
        <f t="shared" si="6"/>
        <v>124215.57489858527</v>
      </c>
      <c r="D41" s="19">
        <f t="shared" si="7"/>
        <v>97510.331505381415</v>
      </c>
      <c r="E41" s="19">
        <f t="shared" si="0"/>
        <v>3726.467246957558</v>
      </c>
      <c r="F41" s="19">
        <f t="shared" si="1"/>
        <v>0</v>
      </c>
      <c r="G41" s="19">
        <f t="shared" si="2"/>
        <v>3412.8616026883496</v>
      </c>
      <c r="H41" s="19">
        <f t="shared" si="3"/>
        <v>104649.66035502733</v>
      </c>
      <c r="I41" s="18">
        <f t="shared" si="4"/>
        <v>51</v>
      </c>
    </row>
    <row r="42" spans="1:9" s="17" customFormat="1" x14ac:dyDescent="0.45">
      <c r="A42" s="21"/>
      <c r="B42" s="18">
        <f t="shared" si="5"/>
        <v>51</v>
      </c>
      <c r="C42" s="19">
        <f t="shared" si="6"/>
        <v>128774.28649736331</v>
      </c>
      <c r="D42" s="19">
        <f t="shared" si="7"/>
        <v>104649.66035502733</v>
      </c>
      <c r="E42" s="19">
        <f t="shared" si="0"/>
        <v>3863.228594920899</v>
      </c>
      <c r="F42" s="19">
        <f t="shared" si="1"/>
        <v>0</v>
      </c>
      <c r="G42" s="19">
        <f t="shared" si="2"/>
        <v>3662.7381124259568</v>
      </c>
      <c r="H42" s="19">
        <f t="shared" si="3"/>
        <v>112175.62706237419</v>
      </c>
      <c r="I42" s="18">
        <f t="shared" si="4"/>
        <v>52</v>
      </c>
    </row>
    <row r="43" spans="1:9" s="17" customFormat="1" x14ac:dyDescent="0.45">
      <c r="A43" s="21"/>
      <c r="B43" s="18">
        <f t="shared" si="5"/>
        <v>52</v>
      </c>
      <c r="C43" s="19">
        <f t="shared" si="6"/>
        <v>133500.30281181657</v>
      </c>
      <c r="D43" s="19">
        <f t="shared" si="7"/>
        <v>112175.62706237419</v>
      </c>
      <c r="E43" s="19">
        <f t="shared" si="0"/>
        <v>4005.0090843544967</v>
      </c>
      <c r="F43" s="19">
        <f t="shared" si="1"/>
        <v>0</v>
      </c>
      <c r="G43" s="19">
        <f t="shared" si="2"/>
        <v>3926.1469471830969</v>
      </c>
      <c r="H43" s="19">
        <f t="shared" si="3"/>
        <v>120106.78309391177</v>
      </c>
      <c r="I43" s="18">
        <f t="shared" si="4"/>
        <v>53</v>
      </c>
    </row>
    <row r="44" spans="1:9" s="17" customFormat="1" x14ac:dyDescent="0.45">
      <c r="A44" s="21"/>
      <c r="B44" s="18">
        <f t="shared" si="5"/>
        <v>53</v>
      </c>
      <c r="C44" s="19">
        <f t="shared" si="6"/>
        <v>138399.76392501019</v>
      </c>
      <c r="D44" s="19">
        <f t="shared" si="7"/>
        <v>120106.78309391177</v>
      </c>
      <c r="E44" s="19">
        <f t="shared" si="0"/>
        <v>4151.9929177503054</v>
      </c>
      <c r="F44" s="19">
        <f t="shared" si="1"/>
        <v>0</v>
      </c>
      <c r="G44" s="19">
        <f t="shared" si="2"/>
        <v>4203.7374082869128</v>
      </c>
      <c r="H44" s="19">
        <f t="shared" si="3"/>
        <v>128462.51341994898</v>
      </c>
      <c r="I44" s="18">
        <f t="shared" si="4"/>
        <v>54</v>
      </c>
    </row>
    <row r="45" spans="1:9" s="17" customFormat="1" x14ac:dyDescent="0.45">
      <c r="A45" s="21"/>
      <c r="B45" s="18">
        <f t="shared" si="5"/>
        <v>54</v>
      </c>
      <c r="C45" s="19">
        <f t="shared" si="6"/>
        <v>143479.0352610581</v>
      </c>
      <c r="D45" s="19">
        <f t="shared" si="7"/>
        <v>128462.51341994898</v>
      </c>
      <c r="E45" s="19">
        <f t="shared" si="0"/>
        <v>4304.3710578317432</v>
      </c>
      <c r="F45" s="19">
        <f t="shared" si="1"/>
        <v>0</v>
      </c>
      <c r="G45" s="19">
        <f t="shared" si="2"/>
        <v>4496.1879696982151</v>
      </c>
      <c r="H45" s="19">
        <f t="shared" si="3"/>
        <v>137263.07244747895</v>
      </c>
      <c r="I45" s="18">
        <f t="shared" si="4"/>
        <v>55</v>
      </c>
    </row>
    <row r="46" spans="1:9" s="17" customFormat="1" x14ac:dyDescent="0.45">
      <c r="A46" s="21"/>
      <c r="B46" s="18">
        <f t="shared" si="5"/>
        <v>55</v>
      </c>
      <c r="C46" s="19">
        <f t="shared" si="6"/>
        <v>148744.7158551389</v>
      </c>
      <c r="D46" s="19">
        <f t="shared" si="7"/>
        <v>137263.07244747895</v>
      </c>
      <c r="E46" s="19">
        <f t="shared" si="0"/>
        <v>4462.341475654167</v>
      </c>
      <c r="F46" s="19">
        <f t="shared" si="1"/>
        <v>0</v>
      </c>
      <c r="G46" s="19">
        <f t="shared" si="2"/>
        <v>4804.2075356617634</v>
      </c>
      <c r="H46" s="19">
        <f t="shared" si="3"/>
        <v>146529.62145879486</v>
      </c>
      <c r="I46" s="18">
        <f t="shared" si="4"/>
        <v>56</v>
      </c>
    </row>
    <row r="47" spans="1:9" s="17" customFormat="1" x14ac:dyDescent="0.45">
      <c r="A47" s="21"/>
      <c r="B47" s="18">
        <f t="shared" si="5"/>
        <v>56</v>
      </c>
      <c r="C47" s="19">
        <f t="shared" si="6"/>
        <v>154203.64692702252</v>
      </c>
      <c r="D47" s="19">
        <f t="shared" si="7"/>
        <v>146529.62145879486</v>
      </c>
      <c r="E47" s="19">
        <f t="shared" si="0"/>
        <v>4626.1094078106753</v>
      </c>
      <c r="F47" s="19">
        <f t="shared" si="1"/>
        <v>0</v>
      </c>
      <c r="G47" s="19">
        <f t="shared" si="2"/>
        <v>5128.5367510578208</v>
      </c>
      <c r="H47" s="19">
        <f t="shared" si="3"/>
        <v>156284.26761766334</v>
      </c>
      <c r="I47" s="18">
        <f t="shared" si="4"/>
        <v>57</v>
      </c>
    </row>
    <row r="48" spans="1:9" s="17" customFormat="1" x14ac:dyDescent="0.45">
      <c r="A48" s="21"/>
      <c r="B48" s="18">
        <f t="shared" si="5"/>
        <v>57</v>
      </c>
      <c r="C48" s="19">
        <f t="shared" si="6"/>
        <v>159862.92076924423</v>
      </c>
      <c r="D48" s="19">
        <f t="shared" si="7"/>
        <v>156284.26761766334</v>
      </c>
      <c r="E48" s="19">
        <f t="shared" si="0"/>
        <v>4795.8876230773267</v>
      </c>
      <c r="F48" s="19">
        <f t="shared" si="1"/>
        <v>0</v>
      </c>
      <c r="G48" s="19">
        <f t="shared" si="2"/>
        <v>5469.949366618217</v>
      </c>
      <c r="H48" s="19">
        <f t="shared" si="3"/>
        <v>166550.10460735887</v>
      </c>
      <c r="I48" s="18">
        <f t="shared" si="4"/>
        <v>58</v>
      </c>
    </row>
    <row r="49" spans="1:9" s="17" customFormat="1" x14ac:dyDescent="0.45">
      <c r="A49" s="21"/>
      <c r="B49" s="18">
        <f t="shared" si="5"/>
        <v>58</v>
      </c>
      <c r="C49" s="19">
        <f t="shared" si="6"/>
        <v>165729.88996147551</v>
      </c>
      <c r="D49" s="19">
        <f t="shared" si="7"/>
        <v>166550.10460735887</v>
      </c>
      <c r="E49" s="19">
        <f t="shared" si="0"/>
        <v>4971.8966988442653</v>
      </c>
      <c r="F49" s="19">
        <f t="shared" si="1"/>
        <v>0</v>
      </c>
      <c r="G49" s="19">
        <f t="shared" si="2"/>
        <v>5829.2536612575605</v>
      </c>
      <c r="H49" s="19">
        <f t="shared" si="3"/>
        <v>177351.2549674607</v>
      </c>
      <c r="I49" s="18">
        <f t="shared" si="4"/>
        <v>59</v>
      </c>
    </row>
    <row r="50" spans="1:9" s="17" customFormat="1" x14ac:dyDescent="0.45">
      <c r="A50" s="21"/>
      <c r="B50" s="18">
        <f t="shared" si="5"/>
        <v>59</v>
      </c>
      <c r="C50" s="19">
        <f t="shared" si="6"/>
        <v>171812.17692306166</v>
      </c>
      <c r="D50" s="19">
        <f t="shared" si="7"/>
        <v>177351.2549674607</v>
      </c>
      <c r="E50" s="19">
        <f t="shared" si="0"/>
        <v>5154.3653076918499</v>
      </c>
      <c r="F50" s="19">
        <f t="shared" si="1"/>
        <v>0</v>
      </c>
      <c r="G50" s="19">
        <f t="shared" si="2"/>
        <v>6207.2939238611252</v>
      </c>
      <c r="H50" s="19">
        <f t="shared" si="3"/>
        <v>188712.91419901367</v>
      </c>
      <c r="I50" s="18">
        <f t="shared" si="4"/>
        <v>60</v>
      </c>
    </row>
    <row r="51" spans="1:9" s="17" customFormat="1" x14ac:dyDescent="0.45">
      <c r="A51" s="21"/>
      <c r="B51" s="18">
        <f t="shared" si="5"/>
        <v>60</v>
      </c>
      <c r="C51" s="19">
        <f t="shared" si="6"/>
        <v>178117.68381613799</v>
      </c>
      <c r="D51" s="19">
        <f t="shared" si="7"/>
        <v>188712.91419901367</v>
      </c>
      <c r="E51" s="19">
        <f t="shared" si="0"/>
        <v>5343.5305144841395</v>
      </c>
      <c r="F51" s="19">
        <f t="shared" si="1"/>
        <v>0</v>
      </c>
      <c r="G51" s="19">
        <f t="shared" si="2"/>
        <v>6604.9519969654793</v>
      </c>
      <c r="H51" s="19">
        <f t="shared" si="3"/>
        <v>200661.39671046328</v>
      </c>
      <c r="I51" s="18">
        <f t="shared" si="4"/>
        <v>61</v>
      </c>
    </row>
    <row r="52" spans="1:9" s="17" customFormat="1" x14ac:dyDescent="0.45">
      <c r="A52" s="21"/>
      <c r="B52" s="18">
        <f t="shared" si="5"/>
        <v>61</v>
      </c>
      <c r="C52" s="19">
        <f t="shared" si="6"/>
        <v>184654.60281219022</v>
      </c>
      <c r="D52" s="19">
        <f t="shared" si="7"/>
        <v>200661.39671046328</v>
      </c>
      <c r="E52" s="19">
        <f t="shared" si="0"/>
        <v>5539.6380843657062</v>
      </c>
      <c r="F52" s="19">
        <f t="shared" si="1"/>
        <v>0</v>
      </c>
      <c r="G52" s="19">
        <f t="shared" si="2"/>
        <v>7023.1488848662157</v>
      </c>
      <c r="H52" s="19">
        <f t="shared" si="3"/>
        <v>213224.18367969518</v>
      </c>
      <c r="I52" s="18">
        <f t="shared" si="4"/>
        <v>62</v>
      </c>
    </row>
    <row r="53" spans="1:9" s="17" customFormat="1" x14ac:dyDescent="0.45">
      <c r="A53" s="21"/>
      <c r="B53" s="18">
        <f t="shared" si="5"/>
        <v>62</v>
      </c>
      <c r="C53" s="19">
        <f t="shared" si="6"/>
        <v>191431.42673539763</v>
      </c>
      <c r="D53" s="19">
        <f t="shared" si="7"/>
        <v>213224.18367969518</v>
      </c>
      <c r="E53" s="19">
        <f t="shared" si="0"/>
        <v>5742.9428020619289</v>
      </c>
      <c r="F53" s="19">
        <f t="shared" si="1"/>
        <v>0</v>
      </c>
      <c r="G53" s="19">
        <f t="shared" si="2"/>
        <v>7462.8464287893321</v>
      </c>
      <c r="H53" s="19">
        <f t="shared" si="3"/>
        <v>226429.97291054646</v>
      </c>
      <c r="I53" s="18">
        <f t="shared" si="4"/>
        <v>63</v>
      </c>
    </row>
    <row r="54" spans="1:9" s="17" customFormat="1" x14ac:dyDescent="0.45">
      <c r="A54" s="21"/>
      <c r="B54" s="18">
        <f t="shared" si="5"/>
        <v>63</v>
      </c>
      <c r="C54" s="19">
        <f t="shared" si="6"/>
        <v>198456.9600965867</v>
      </c>
      <c r="D54" s="19">
        <f t="shared" si="7"/>
        <v>226429.97291054646</v>
      </c>
      <c r="E54" s="19">
        <f t="shared" si="0"/>
        <v>5953.7088028976004</v>
      </c>
      <c r="F54" s="19">
        <f t="shared" si="1"/>
        <v>0</v>
      </c>
      <c r="G54" s="19">
        <f t="shared" si="2"/>
        <v>7925.0490518691267</v>
      </c>
      <c r="H54" s="19">
        <f t="shared" si="3"/>
        <v>240308.7307653132</v>
      </c>
      <c r="I54" s="18">
        <f t="shared" si="4"/>
        <v>64</v>
      </c>
    </row>
    <row r="55" spans="1:9" s="17" customFormat="1" x14ac:dyDescent="0.45">
      <c r="A55" s="21"/>
      <c r="B55" s="18">
        <f t="shared" si="5"/>
        <v>64</v>
      </c>
      <c r="C55" s="19">
        <f t="shared" si="6"/>
        <v>205740.33053213143</v>
      </c>
      <c r="D55" s="19">
        <f t="shared" si="7"/>
        <v>240308.7307653132</v>
      </c>
      <c r="E55" s="19">
        <f t="shared" si="0"/>
        <v>6172.2099159639429</v>
      </c>
      <c r="F55" s="19">
        <f t="shared" si="1"/>
        <v>0</v>
      </c>
      <c r="G55" s="19">
        <f t="shared" si="2"/>
        <v>8410.8055767859623</v>
      </c>
      <c r="H55" s="19">
        <f t="shared" si="3"/>
        <v>254891.7462580631</v>
      </c>
      <c r="I55" s="18">
        <f t="shared" si="4"/>
        <v>65</v>
      </c>
    </row>
    <row r="56" spans="1:9" s="17" customFormat="1" x14ac:dyDescent="0.45">
      <c r="A56" s="21"/>
      <c r="B56" s="18">
        <f t="shared" si="5"/>
        <v>65</v>
      </c>
      <c r="C56" s="19">
        <f t="shared" si="6"/>
        <v>213291.00066266066</v>
      </c>
      <c r="D56" s="19">
        <f t="shared" si="7"/>
        <v>254891.7462580631</v>
      </c>
      <c r="E56" s="19">
        <f t="shared" si="0"/>
        <v>6398.7300198798193</v>
      </c>
      <c r="F56" s="19">
        <f t="shared" si="1"/>
        <v>0</v>
      </c>
      <c r="G56" s="19">
        <f t="shared" si="2"/>
        <v>8921.2111190322084</v>
      </c>
      <c r="H56" s="19">
        <f t="shared" si="3"/>
        <v>270211.68739697512</v>
      </c>
      <c r="I56" s="18">
        <f t="shared" si="4"/>
        <v>66</v>
      </c>
    </row>
    <row r="57" spans="1:9" s="17" customFormat="1" x14ac:dyDescent="0.45">
      <c r="A57" s="21"/>
      <c r="B57" s="18">
        <f t="shared" si="5"/>
        <v>66</v>
      </c>
      <c r="C57" s="19">
        <f t="shared" si="6"/>
        <v>221118.7803869803</v>
      </c>
      <c r="D57" s="19">
        <f t="shared" si="7"/>
        <v>270211.68739697512</v>
      </c>
      <c r="E57" s="19">
        <f t="shared" si="0"/>
        <v>6633.5634116094088</v>
      </c>
      <c r="F57" s="19">
        <f t="shared" si="1"/>
        <v>0</v>
      </c>
      <c r="G57" s="19">
        <f t="shared" si="2"/>
        <v>9457.4090588941308</v>
      </c>
      <c r="H57" s="19">
        <f t="shared" si="3"/>
        <v>286302.65986747865</v>
      </c>
      <c r="I57" s="18">
        <f t="shared" si="4"/>
        <v>67</v>
      </c>
    </row>
    <row r="58" spans="1:9" s="17" customFormat="1" x14ac:dyDescent="0.45">
      <c r="A58" s="21"/>
      <c r="B58" s="18">
        <f t="shared" si="5"/>
        <v>67</v>
      </c>
      <c r="C58" s="19">
        <f t="shared" si="6"/>
        <v>0</v>
      </c>
      <c r="D58" s="19">
        <f t="shared" si="7"/>
        <v>286302.65986747865</v>
      </c>
      <c r="E58" s="19">
        <f t="shared" si="0"/>
        <v>0</v>
      </c>
      <c r="F58" s="19">
        <f t="shared" si="1"/>
        <v>-183387.07170174594</v>
      </c>
      <c r="G58" s="19">
        <f t="shared" si="2"/>
        <v>3602.0455858006453</v>
      </c>
      <c r="H58" s="19">
        <f t="shared" si="3"/>
        <v>106517.63375153336</v>
      </c>
      <c r="I58" s="18">
        <f t="shared" si="4"/>
        <v>68</v>
      </c>
    </row>
    <row r="59" spans="1:9" s="17" customFormat="1" x14ac:dyDescent="0.45">
      <c r="A59" s="21"/>
      <c r="B59" s="18">
        <f t="shared" si="5"/>
        <v>68</v>
      </c>
      <c r="C59" s="19">
        <f t="shared" si="6"/>
        <v>0</v>
      </c>
      <c r="D59" s="19">
        <f t="shared" si="7"/>
        <v>106517.63375153336</v>
      </c>
      <c r="E59" s="19">
        <f t="shared" si="0"/>
        <v>0</v>
      </c>
      <c r="F59" s="19">
        <f t="shared" si="1"/>
        <v>-190117.37723320004</v>
      </c>
      <c r="G59" s="19">
        <f t="shared" si="2"/>
        <v>-2925.9910218583341</v>
      </c>
      <c r="H59" s="19">
        <f t="shared" si="3"/>
        <v>-86525.734503525018</v>
      </c>
      <c r="I59" s="18">
        <f t="shared" si="4"/>
        <v>69</v>
      </c>
    </row>
    <row r="60" spans="1:9" s="17" customFormat="1" x14ac:dyDescent="0.45">
      <c r="A60" s="21"/>
      <c r="B60" s="18">
        <f t="shared" si="5"/>
        <v>69</v>
      </c>
      <c r="C60" s="19">
        <f t="shared" si="6"/>
        <v>0</v>
      </c>
      <c r="D60" s="19">
        <f t="shared" si="7"/>
        <v>-86525.734503525018</v>
      </c>
      <c r="E60" s="19">
        <f t="shared" si="0"/>
        <v>0</v>
      </c>
      <c r="F60" s="19">
        <f t="shared" si="1"/>
        <v>-197094.68497765844</v>
      </c>
      <c r="G60" s="19">
        <f t="shared" si="2"/>
        <v>-9926.7146818414221</v>
      </c>
      <c r="H60" s="19">
        <f t="shared" si="3"/>
        <v>-293547.13416302489</v>
      </c>
      <c r="I60" s="18">
        <f t="shared" si="4"/>
        <v>70</v>
      </c>
    </row>
    <row r="61" spans="1:9" s="17" customFormat="1" x14ac:dyDescent="0.45">
      <c r="A61" s="21"/>
      <c r="B61" s="18">
        <f t="shared" si="5"/>
        <v>70</v>
      </c>
      <c r="C61" s="19">
        <f t="shared" si="6"/>
        <v>0</v>
      </c>
      <c r="D61" s="19">
        <f t="shared" si="7"/>
        <v>-293547.13416302489</v>
      </c>
      <c r="E61" s="19">
        <f t="shared" si="0"/>
        <v>0</v>
      </c>
      <c r="F61" s="19">
        <f t="shared" si="1"/>
        <v>-204328.05991633853</v>
      </c>
      <c r="G61" s="19">
        <f t="shared" si="2"/>
        <v>-17425.63179277772</v>
      </c>
      <c r="H61" s="19">
        <f t="shared" si="3"/>
        <v>-515300.82587214117</v>
      </c>
      <c r="I61" s="18">
        <f t="shared" si="4"/>
        <v>71</v>
      </c>
    </row>
    <row r="62" spans="1:9" s="17" customFormat="1" x14ac:dyDescent="0.45">
      <c r="A62" s="21"/>
      <c r="B62" s="18">
        <f t="shared" si="5"/>
        <v>71</v>
      </c>
      <c r="C62" s="19">
        <f t="shared" si="6"/>
        <v>0</v>
      </c>
      <c r="D62" s="19">
        <f t="shared" si="7"/>
        <v>-515300.82587214117</v>
      </c>
      <c r="E62" s="19">
        <f t="shared" si="0"/>
        <v>0</v>
      </c>
      <c r="F62" s="19">
        <f t="shared" si="1"/>
        <v>-211826.89971526811</v>
      </c>
      <c r="G62" s="19">
        <f t="shared" si="2"/>
        <v>-25449.470395559325</v>
      </c>
      <c r="H62" s="19">
        <f t="shared" si="3"/>
        <v>-752577.19598296855</v>
      </c>
      <c r="I62" s="18">
        <f t="shared" si="4"/>
        <v>72</v>
      </c>
    </row>
    <row r="63" spans="1:9" s="17" customFormat="1" x14ac:dyDescent="0.45">
      <c r="A63" s="21"/>
      <c r="B63" s="18">
        <f t="shared" si="5"/>
        <v>72</v>
      </c>
      <c r="C63" s="19">
        <f t="shared" si="6"/>
        <v>0</v>
      </c>
      <c r="D63" s="19">
        <f t="shared" si="7"/>
        <v>-752577.19598296855</v>
      </c>
      <c r="E63" s="19">
        <f t="shared" si="0"/>
        <v>0</v>
      </c>
      <c r="F63" s="19">
        <f t="shared" si="1"/>
        <v>-219600.94693481846</v>
      </c>
      <c r="G63" s="19">
        <f t="shared" si="2"/>
        <v>-34026.23500212255</v>
      </c>
      <c r="H63" s="19">
        <f t="shared" si="3"/>
        <v>-1006204.3779199095</v>
      </c>
      <c r="I63" s="18">
        <f t="shared" si="4"/>
        <v>73</v>
      </c>
    </row>
    <row r="64" spans="1:9" s="17" customFormat="1" x14ac:dyDescent="0.45">
      <c r="A64" s="21"/>
      <c r="B64" s="18">
        <f t="shared" si="5"/>
        <v>73</v>
      </c>
      <c r="C64" s="19">
        <f t="shared" si="6"/>
        <v>0</v>
      </c>
      <c r="D64" s="19">
        <f t="shared" si="7"/>
        <v>-1006204.3779199095</v>
      </c>
      <c r="E64" s="19">
        <f t="shared" si="0"/>
        <v>0</v>
      </c>
      <c r="F64" s="19">
        <f t="shared" si="1"/>
        <v>-227660.30168732628</v>
      </c>
      <c r="G64" s="19">
        <f t="shared" si="2"/>
        <v>-43185.263786253257</v>
      </c>
      <c r="H64" s="19">
        <f t="shared" si="3"/>
        <v>-1277049.9433934891</v>
      </c>
      <c r="I64" s="18">
        <f t="shared" si="4"/>
        <v>74</v>
      </c>
    </row>
    <row r="65" spans="1:9" s="17" customFormat="1" x14ac:dyDescent="0.45">
      <c r="A65" s="21"/>
      <c r="B65" s="18">
        <f t="shared" si="5"/>
        <v>74</v>
      </c>
      <c r="C65" s="19">
        <f t="shared" si="6"/>
        <v>0</v>
      </c>
      <c r="D65" s="19">
        <f t="shared" si="7"/>
        <v>-1277049.9433934891</v>
      </c>
      <c r="E65" s="19">
        <f t="shared" si="0"/>
        <v>0</v>
      </c>
      <c r="F65" s="19">
        <f t="shared" si="1"/>
        <v>-236015.43475925116</v>
      </c>
      <c r="G65" s="19">
        <f t="shared" si="2"/>
        <v>-52957.288235345914</v>
      </c>
      <c r="H65" s="19">
        <f t="shared" si="3"/>
        <v>-1566022.666388086</v>
      </c>
      <c r="I65" s="18">
        <f t="shared" si="4"/>
        <v>75</v>
      </c>
    </row>
    <row r="66" spans="1:9" s="17" customFormat="1" x14ac:dyDescent="0.45">
      <c r="A66" s="21"/>
      <c r="B66" s="18">
        <f t="shared" si="5"/>
        <v>75</v>
      </c>
      <c r="C66" s="19">
        <f t="shared" si="6"/>
        <v>0</v>
      </c>
      <c r="D66" s="19">
        <f t="shared" si="7"/>
        <v>-1566022.666388086</v>
      </c>
      <c r="E66" s="19">
        <f t="shared" si="0"/>
        <v>0</v>
      </c>
      <c r="F66" s="19">
        <f t="shared" si="1"/>
        <v>-244677.20121491569</v>
      </c>
      <c r="G66" s="19">
        <f t="shared" si="2"/>
        <v>-63374.49536610506</v>
      </c>
      <c r="H66" s="19">
        <f t="shared" si="3"/>
        <v>-1874074.3629691068</v>
      </c>
      <c r="I66" s="18">
        <f t="shared" si="4"/>
        <v>76</v>
      </c>
    </row>
    <row r="67" spans="1:9" s="17" customFormat="1" x14ac:dyDescent="0.45">
      <c r="A67" s="21"/>
      <c r="B67" s="18">
        <f t="shared" si="5"/>
        <v>76</v>
      </c>
      <c r="C67" s="19">
        <f t="shared" si="6"/>
        <v>0</v>
      </c>
      <c r="D67" s="19">
        <f t="shared" si="7"/>
        <v>-1874074.3629691068</v>
      </c>
      <c r="E67" s="19">
        <f t="shared" si="0"/>
        <v>0</v>
      </c>
      <c r="F67" s="19">
        <f t="shared" si="1"/>
        <v>-253656.85449950307</v>
      </c>
      <c r="G67" s="19">
        <f t="shared" si="2"/>
        <v>-74470.592611401356</v>
      </c>
      <c r="H67" s="19">
        <f t="shared" si="3"/>
        <v>-2202201.8100800114</v>
      </c>
      <c r="I67" s="18">
        <f t="shared" si="4"/>
        <v>77</v>
      </c>
    </row>
    <row r="68" spans="1:9" s="17" customFormat="1" x14ac:dyDescent="0.45">
      <c r="A68" s="21"/>
      <c r="B68" s="18">
        <f t="shared" si="5"/>
        <v>77</v>
      </c>
      <c r="C68" s="19">
        <f t="shared" si="6"/>
        <v>0</v>
      </c>
      <c r="D68" s="19">
        <f t="shared" si="7"/>
        <v>-2202201.8100800114</v>
      </c>
      <c r="E68" s="19">
        <f t="shared" si="0"/>
        <v>0</v>
      </c>
      <c r="F68" s="19">
        <f t="shared" si="1"/>
        <v>-262966.06105963478</v>
      </c>
      <c r="G68" s="19">
        <f t="shared" si="2"/>
        <v>-86280.875489887621</v>
      </c>
      <c r="H68" s="19">
        <f t="shared" si="3"/>
        <v>-2551448.7466295338</v>
      </c>
      <c r="I68" s="18">
        <f t="shared" si="4"/>
        <v>78</v>
      </c>
    </row>
    <row r="69" spans="1:9" s="17" customFormat="1" x14ac:dyDescent="0.45">
      <c r="A69" s="21"/>
      <c r="B69" s="18">
        <f t="shared" si="5"/>
        <v>78</v>
      </c>
      <c r="C69" s="19">
        <f t="shared" si="6"/>
        <v>0</v>
      </c>
      <c r="D69" s="19">
        <f t="shared" si="7"/>
        <v>-2551448.7466295338</v>
      </c>
      <c r="E69" s="19">
        <f t="shared" si="0"/>
        <v>0</v>
      </c>
      <c r="F69" s="19">
        <f t="shared" si="1"/>
        <v>-272616.91550052346</v>
      </c>
      <c r="G69" s="19">
        <f t="shared" si="2"/>
        <v>-98842.298174552023</v>
      </c>
      <c r="H69" s="19">
        <f t="shared" si="3"/>
        <v>-2922907.9603046095</v>
      </c>
      <c r="I69" s="18">
        <f t="shared" si="4"/>
        <v>79</v>
      </c>
    </row>
    <row r="70" spans="1:9" s="17" customFormat="1" x14ac:dyDescent="0.45">
      <c r="A70" s="21"/>
      <c r="B70" s="18">
        <f t="shared" si="5"/>
        <v>79</v>
      </c>
      <c r="C70" s="19">
        <f t="shared" si="6"/>
        <v>0</v>
      </c>
      <c r="D70" s="19">
        <f t="shared" si="7"/>
        <v>-2922907.9603046095</v>
      </c>
      <c r="E70" s="19">
        <f t="shared" si="0"/>
        <v>0</v>
      </c>
      <c r="F70" s="19">
        <f t="shared" si="1"/>
        <v>-282621.95629939262</v>
      </c>
      <c r="G70" s="19">
        <f t="shared" si="2"/>
        <v>-112193.54708114007</v>
      </c>
      <c r="H70" s="19">
        <f t="shared" si="3"/>
        <v>-3317723.4636851419</v>
      </c>
      <c r="I70" s="18">
        <f t="shared" si="4"/>
        <v>80</v>
      </c>
    </row>
    <row r="71" spans="1:9" s="17" customFormat="1" x14ac:dyDescent="0.45">
      <c r="A71" s="21"/>
      <c r="B71" s="18">
        <f t="shared" si="5"/>
        <v>80</v>
      </c>
      <c r="C71" s="19">
        <f t="shared" si="6"/>
        <v>0</v>
      </c>
      <c r="D71" s="19">
        <f t="shared" si="7"/>
        <v>-3317723.4636851419</v>
      </c>
      <c r="E71" s="19">
        <f t="shared" si="0"/>
        <v>0</v>
      </c>
      <c r="F71" s="19">
        <f t="shared" si="1"/>
        <v>-292994.18209558027</v>
      </c>
      <c r="G71" s="19">
        <f t="shared" si="2"/>
        <v>-126375.11760232529</v>
      </c>
      <c r="H71" s="19">
        <f t="shared" si="3"/>
        <v>-3737092.7633830477</v>
      </c>
      <c r="I71" s="18">
        <f t="shared" si="4"/>
        <v>81</v>
      </c>
    </row>
    <row r="72" spans="1:9" s="17" customFormat="1" x14ac:dyDescent="0.45">
      <c r="A72" s="21"/>
      <c r="B72" s="18">
        <f t="shared" si="5"/>
        <v>81</v>
      </c>
      <c r="C72" s="19">
        <f t="shared" si="6"/>
        <v>0</v>
      </c>
      <c r="D72" s="19">
        <f t="shared" si="7"/>
        <v>-3737092.7633830477</v>
      </c>
      <c r="E72" s="19">
        <f t="shared" si="0"/>
        <v>0</v>
      </c>
      <c r="F72" s="19">
        <f t="shared" si="1"/>
        <v>-303747.06857848808</v>
      </c>
      <c r="G72" s="19">
        <f t="shared" si="2"/>
        <v>-141429.39411865376</v>
      </c>
      <c r="H72" s="19">
        <f t="shared" si="3"/>
        <v>-4182269.2260801895</v>
      </c>
      <c r="I72" s="18">
        <f t="shared" si="4"/>
        <v>82</v>
      </c>
    </row>
    <row r="73" spans="1:9" s="17" customFormat="1" x14ac:dyDescent="0.45">
      <c r="A73" s="21"/>
      <c r="B73" s="18">
        <f t="shared" si="5"/>
        <v>82</v>
      </c>
      <c r="C73" s="19">
        <f t="shared" si="6"/>
        <v>0</v>
      </c>
      <c r="D73" s="19">
        <f t="shared" si="7"/>
        <v>-4182269.2260801895</v>
      </c>
      <c r="E73" s="19">
        <f t="shared" si="0"/>
        <v>0</v>
      </c>
      <c r="F73" s="19">
        <f t="shared" si="1"/>
        <v>-314894.5859953186</v>
      </c>
      <c r="G73" s="19">
        <f t="shared" si="2"/>
        <v>-157400.73342264278</v>
      </c>
      <c r="H73" s="19">
        <f t="shared" si="3"/>
        <v>-4654564.5454981504</v>
      </c>
      <c r="I73" s="18">
        <f t="shared" si="4"/>
        <v>83</v>
      </c>
    </row>
    <row r="74" spans="1:9" s="17" customFormat="1" x14ac:dyDescent="0.45">
      <c r="A74" s="21"/>
      <c r="B74" s="18">
        <f t="shared" si="5"/>
        <v>83</v>
      </c>
      <c r="C74" s="19">
        <f t="shared" si="6"/>
        <v>0</v>
      </c>
      <c r="D74" s="19">
        <f t="shared" si="7"/>
        <v>-4654564.5454981504</v>
      </c>
      <c r="E74" s="19">
        <f t="shared" si="0"/>
        <v>0</v>
      </c>
      <c r="F74" s="19">
        <f t="shared" si="1"/>
        <v>-326451.21730134671</v>
      </c>
      <c r="G74" s="19">
        <f t="shared" si="2"/>
        <v>-174335.55169798242</v>
      </c>
      <c r="H74" s="19">
        <f t="shared" si="3"/>
        <v>-5155351.3144974792</v>
      </c>
      <c r="I74" s="18">
        <f t="shared" si="4"/>
        <v>84</v>
      </c>
    </row>
    <row r="75" spans="1:9" s="17" customFormat="1" x14ac:dyDescent="0.45">
      <c r="A75" s="21"/>
      <c r="B75" s="18">
        <f t="shared" si="5"/>
        <v>84</v>
      </c>
      <c r="C75" s="19">
        <f t="shared" si="6"/>
        <v>0</v>
      </c>
      <c r="D75" s="19">
        <f t="shared" si="7"/>
        <v>-5155351.3144974792</v>
      </c>
      <c r="E75" s="19">
        <f t="shared" si="0"/>
        <v>0</v>
      </c>
      <c r="F75" s="19">
        <f t="shared" si="1"/>
        <v>-338431.97697630618</v>
      </c>
      <c r="G75" s="19">
        <f t="shared" si="2"/>
        <v>-192282.41520158251</v>
      </c>
      <c r="H75" s="19">
        <f t="shared" si="3"/>
        <v>-5686065.7066753684</v>
      </c>
      <c r="I75" s="18">
        <f t="shared" si="4"/>
        <v>85</v>
      </c>
    </row>
    <row r="76" spans="1:9" s="17" customFormat="1" x14ac:dyDescent="0.45">
      <c r="A76" s="21"/>
      <c r="B76" s="18">
        <f t="shared" si="5"/>
        <v>85</v>
      </c>
      <c r="C76" s="19">
        <f t="shared" si="6"/>
        <v>0</v>
      </c>
      <c r="D76" s="19">
        <f t="shared" si="7"/>
        <v>-5686065.7066753684</v>
      </c>
      <c r="E76" s="19">
        <f t="shared" si="0"/>
        <v>0</v>
      </c>
      <c r="F76" s="19">
        <f t="shared" si="1"/>
        <v>-350852.43053133652</v>
      </c>
      <c r="G76" s="19">
        <f t="shared" si="2"/>
        <v>-211292.13480223471</v>
      </c>
      <c r="H76" s="19">
        <f t="shared" si="3"/>
        <v>-6248210.2720089396</v>
      </c>
      <c r="I76" s="18">
        <f t="shared" si="4"/>
        <v>86</v>
      </c>
    </row>
    <row r="77" spans="1:9" s="17" customFormat="1" x14ac:dyDescent="0.45">
      <c r="A77" s="21"/>
      <c r="B77" s="18">
        <f t="shared" si="5"/>
        <v>86</v>
      </c>
      <c r="C77" s="19">
        <f t="shared" si="6"/>
        <v>0</v>
      </c>
      <c r="D77" s="19">
        <f t="shared" si="7"/>
        <v>-6248210.2720089396</v>
      </c>
      <c r="E77" s="19">
        <f t="shared" si="0"/>
        <v>0</v>
      </c>
      <c r="F77" s="19">
        <f t="shared" si="1"/>
        <v>-363728.71473183663</v>
      </c>
      <c r="G77" s="19">
        <f t="shared" si="2"/>
        <v>-231417.86453592719</v>
      </c>
      <c r="H77" s="19">
        <f t="shared" si="3"/>
        <v>-6843356.8512767032</v>
      </c>
      <c r="I77" s="18">
        <f t="shared" si="4"/>
        <v>87</v>
      </c>
    </row>
    <row r="78" spans="1:9" s="17" customFormat="1" x14ac:dyDescent="0.45">
      <c r="A78" s="21"/>
      <c r="B78" s="18">
        <f t="shared" si="5"/>
        <v>87</v>
      </c>
      <c r="C78" s="19">
        <f t="shared" si="6"/>
        <v>0</v>
      </c>
      <c r="D78" s="19">
        <f t="shared" si="7"/>
        <v>-6843356.8512767032</v>
      </c>
      <c r="E78" s="19">
        <f t="shared" si="0"/>
        <v>0</v>
      </c>
      <c r="F78" s="19">
        <f t="shared" si="1"/>
        <v>-377077.55856249499</v>
      </c>
      <c r="G78" s="19">
        <f t="shared" si="2"/>
        <v>-252715.20434437194</v>
      </c>
      <c r="H78" s="19">
        <f t="shared" si="3"/>
        <v>-7473149.6141835703</v>
      </c>
      <c r="I78" s="18">
        <f t="shared" si="4"/>
        <v>88</v>
      </c>
    </row>
    <row r="79" spans="1:9" s="17" customFormat="1" x14ac:dyDescent="0.45">
      <c r="A79" s="21"/>
      <c r="B79" s="18">
        <f t="shared" si="5"/>
        <v>88</v>
      </c>
      <c r="C79" s="19">
        <f t="shared" si="6"/>
        <v>0</v>
      </c>
      <c r="D79" s="19">
        <f t="shared" si="7"/>
        <v>-7473149.6141835703</v>
      </c>
      <c r="E79" s="19">
        <f t="shared" si="0"/>
        <v>0</v>
      </c>
      <c r="F79" s="19">
        <f t="shared" si="1"/>
        <v>-390916.30496173858</v>
      </c>
      <c r="G79" s="19">
        <f t="shared" si="2"/>
        <v>-275242.30717008584</v>
      </c>
      <c r="H79" s="19">
        <f t="shared" si="3"/>
        <v>-8139308.226315394</v>
      </c>
      <c r="I79" s="18">
        <f t="shared" si="4"/>
        <v>89</v>
      </c>
    </row>
    <row r="80" spans="1:9" s="17" customFormat="1" x14ac:dyDescent="0.45">
      <c r="A80" s="21"/>
      <c r="B80" s="18">
        <f t="shared" si="5"/>
        <v>89</v>
      </c>
      <c r="C80" s="19">
        <f t="shared" si="6"/>
        <v>0</v>
      </c>
      <c r="D80" s="19">
        <f t="shared" si="7"/>
        <v>-8139308.226315394</v>
      </c>
      <c r="E80" s="19">
        <f t="shared" si="0"/>
        <v>0</v>
      </c>
      <c r="F80" s="19">
        <f t="shared" si="1"/>
        <v>-405262.93335383432</v>
      </c>
      <c r="G80" s="19">
        <f t="shared" si="2"/>
        <v>-299059.99058842298</v>
      </c>
      <c r="H80" s="19">
        <f t="shared" si="3"/>
        <v>-8843631.1502576508</v>
      </c>
      <c r="I80" s="18">
        <f t="shared" si="4"/>
        <v>90</v>
      </c>
    </row>
    <row r="81" spans="1:9" s="17" customFormat="1" x14ac:dyDescent="0.45">
      <c r="A81" s="21"/>
      <c r="B81" s="18">
        <f t="shared" si="5"/>
        <v>90</v>
      </c>
      <c r="C81" s="19">
        <f t="shared" si="6"/>
        <v>0</v>
      </c>
      <c r="D81" s="19">
        <f t="shared" si="7"/>
        <v>-8843631.1502576508</v>
      </c>
      <c r="E81" s="19">
        <f t="shared" si="0"/>
        <v>0</v>
      </c>
      <c r="F81" s="19">
        <f t="shared" si="1"/>
        <v>-420136.08300792013</v>
      </c>
      <c r="G81" s="19">
        <f t="shared" si="2"/>
        <v>-324231.85316429503</v>
      </c>
      <c r="H81" s="19">
        <f t="shared" si="3"/>
        <v>-9587999.086429866</v>
      </c>
      <c r="I81" s="18">
        <f t="shared" si="4"/>
        <v>91</v>
      </c>
    </row>
    <row r="82" spans="1:9" s="17" customFormat="1" x14ac:dyDescent="0.45">
      <c r="A82" s="21"/>
      <c r="B82" s="18">
        <f t="shared" si="5"/>
        <v>91</v>
      </c>
      <c r="C82" s="19">
        <f t="shared" si="6"/>
        <v>0</v>
      </c>
      <c r="D82" s="19">
        <f t="shared" si="7"/>
        <v>-9587999.086429866</v>
      </c>
      <c r="E82" s="19">
        <f t="shared" ref="E82:E104" si="8">IF(B82="","",$B$14*C82)</f>
        <v>0</v>
      </c>
      <c r="F82" s="19">
        <f t="shared" ref="F82:F104" si="9">IF(B82="","",IF(B82&gt;=$B$7,-$B$13*(1+$B$5+$B$11)^(B82-$B$17),0))</f>
        <v>-435555.07725431077</v>
      </c>
      <c r="G82" s="19">
        <f t="shared" ref="G82:G104" si="10">IF(B82="","",$B$10*(D82+F82))</f>
        <v>-350824.3957289462</v>
      </c>
      <c r="H82" s="19">
        <f t="shared" ref="H82:H104" si="11">IF(B82="","",D82+E82+F82+G82)</f>
        <v>-10374378.559413122</v>
      </c>
      <c r="I82" s="18">
        <f t="shared" ref="I82:I104" si="12">IF(B82="","",B82+1)</f>
        <v>92</v>
      </c>
    </row>
    <row r="83" spans="1:9" s="17" customFormat="1" x14ac:dyDescent="0.45">
      <c r="A83" s="21"/>
      <c r="B83" s="18">
        <f t="shared" ref="B83:B104" si="13">IF(B82="","",IF(B82+1&lt;=$B$8,B82+1,""))</f>
        <v>92</v>
      </c>
      <c r="C83" s="19">
        <f t="shared" ref="C83:C104" si="14">IF(B83="","",IF(B83&lt;$B$7,$B$4*(1+$B$5+$B$11)^(B83-$B$17),0))</f>
        <v>0</v>
      </c>
      <c r="D83" s="19">
        <f t="shared" ref="D83:D104" si="15">IF(B83="","",H82)</f>
        <v>-10374378.559413122</v>
      </c>
      <c r="E83" s="19">
        <f t="shared" si="8"/>
        <v>0</v>
      </c>
      <c r="F83" s="19">
        <f t="shared" si="9"/>
        <v>-451539.94858954393</v>
      </c>
      <c r="G83" s="19">
        <f t="shared" si="10"/>
        <v>-378907.14778009336</v>
      </c>
      <c r="H83" s="19">
        <f t="shared" si="11"/>
        <v>-11204825.655782759</v>
      </c>
      <c r="I83" s="18">
        <f t="shared" si="12"/>
        <v>93</v>
      </c>
    </row>
    <row r="84" spans="1:9" s="17" customFormat="1" x14ac:dyDescent="0.45">
      <c r="A84" s="21"/>
      <c r="B84" s="18">
        <f t="shared" si="13"/>
        <v>93</v>
      </c>
      <c r="C84" s="19">
        <f t="shared" si="14"/>
        <v>0</v>
      </c>
      <c r="D84" s="19">
        <f t="shared" si="15"/>
        <v>-11204825.655782759</v>
      </c>
      <c r="E84" s="19">
        <f t="shared" si="8"/>
        <v>0</v>
      </c>
      <c r="F84" s="19">
        <f t="shared" si="9"/>
        <v>-468111.46470278018</v>
      </c>
      <c r="G84" s="19">
        <f t="shared" si="10"/>
        <v>-408552.79921699391</v>
      </c>
      <c r="H84" s="19">
        <f t="shared" si="11"/>
        <v>-12081489.919702532</v>
      </c>
      <c r="I84" s="18">
        <f t="shared" si="12"/>
        <v>94</v>
      </c>
    </row>
    <row r="85" spans="1:9" x14ac:dyDescent="0.45">
      <c r="A85" s="4"/>
      <c r="B85" s="2" t="str">
        <f t="shared" si="13"/>
        <v/>
      </c>
      <c r="C85" s="3" t="str">
        <f t="shared" si="14"/>
        <v/>
      </c>
      <c r="D85" s="3" t="str">
        <f t="shared" si="15"/>
        <v/>
      </c>
      <c r="E85" s="3" t="str">
        <f t="shared" si="8"/>
        <v/>
      </c>
      <c r="F85" s="3" t="str">
        <f t="shared" si="9"/>
        <v/>
      </c>
      <c r="G85" s="3" t="str">
        <f t="shared" si="10"/>
        <v/>
      </c>
      <c r="H85" s="3" t="str">
        <f t="shared" si="11"/>
        <v/>
      </c>
      <c r="I85" s="2" t="str">
        <f t="shared" si="12"/>
        <v/>
      </c>
    </row>
    <row r="86" spans="1:9" x14ac:dyDescent="0.45">
      <c r="B86" s="2" t="str">
        <f t="shared" si="13"/>
        <v/>
      </c>
      <c r="C86" s="3" t="str">
        <f t="shared" si="14"/>
        <v/>
      </c>
      <c r="D86" s="3" t="str">
        <f t="shared" si="15"/>
        <v/>
      </c>
      <c r="E86" s="3" t="str">
        <f t="shared" si="8"/>
        <v/>
      </c>
      <c r="F86" s="3" t="str">
        <f t="shared" si="9"/>
        <v/>
      </c>
      <c r="G86" s="3" t="str">
        <f t="shared" si="10"/>
        <v/>
      </c>
      <c r="H86" s="3" t="str">
        <f t="shared" si="11"/>
        <v/>
      </c>
      <c r="I86" s="2" t="str">
        <f t="shared" si="12"/>
        <v/>
      </c>
    </row>
    <row r="87" spans="1:9" x14ac:dyDescent="0.45">
      <c r="B87" s="2" t="str">
        <f t="shared" si="13"/>
        <v/>
      </c>
      <c r="C87" s="3" t="str">
        <f t="shared" si="14"/>
        <v/>
      </c>
      <c r="D87" s="3" t="str">
        <f t="shared" si="15"/>
        <v/>
      </c>
      <c r="E87" s="3" t="str">
        <f t="shared" si="8"/>
        <v/>
      </c>
      <c r="F87" s="3" t="str">
        <f t="shared" si="9"/>
        <v/>
      </c>
      <c r="G87" s="3" t="str">
        <f t="shared" si="10"/>
        <v/>
      </c>
      <c r="H87" s="3" t="str">
        <f t="shared" si="11"/>
        <v/>
      </c>
      <c r="I87" s="2" t="str">
        <f t="shared" si="12"/>
        <v/>
      </c>
    </row>
    <row r="88" spans="1:9" x14ac:dyDescent="0.45">
      <c r="B88" s="2" t="str">
        <f t="shared" si="13"/>
        <v/>
      </c>
      <c r="C88" s="3" t="str">
        <f t="shared" si="14"/>
        <v/>
      </c>
      <c r="D88" s="3" t="str">
        <f t="shared" si="15"/>
        <v/>
      </c>
      <c r="E88" s="3" t="str">
        <f t="shared" si="8"/>
        <v/>
      </c>
      <c r="F88" s="3" t="str">
        <f t="shared" si="9"/>
        <v/>
      </c>
      <c r="G88" s="3" t="str">
        <f t="shared" si="10"/>
        <v/>
      </c>
      <c r="H88" s="3" t="str">
        <f t="shared" si="11"/>
        <v/>
      </c>
      <c r="I88" s="2" t="str">
        <f t="shared" si="12"/>
        <v/>
      </c>
    </row>
    <row r="89" spans="1:9" x14ac:dyDescent="0.45">
      <c r="B89" s="2" t="str">
        <f t="shared" si="13"/>
        <v/>
      </c>
      <c r="C89" s="3" t="str">
        <f t="shared" si="14"/>
        <v/>
      </c>
      <c r="D89" s="3" t="str">
        <f t="shared" si="15"/>
        <v/>
      </c>
      <c r="E89" s="3" t="str">
        <f t="shared" si="8"/>
        <v/>
      </c>
      <c r="F89" s="3" t="str">
        <f t="shared" si="9"/>
        <v/>
      </c>
      <c r="G89" s="3" t="str">
        <f t="shared" si="10"/>
        <v/>
      </c>
      <c r="H89" s="3" t="str">
        <f t="shared" si="11"/>
        <v/>
      </c>
      <c r="I89" s="2" t="str">
        <f t="shared" si="12"/>
        <v/>
      </c>
    </row>
    <row r="90" spans="1:9" x14ac:dyDescent="0.45">
      <c r="B90" s="2" t="str">
        <f t="shared" si="13"/>
        <v/>
      </c>
      <c r="C90" s="3" t="str">
        <f t="shared" si="14"/>
        <v/>
      </c>
      <c r="D90" s="3" t="str">
        <f t="shared" si="15"/>
        <v/>
      </c>
      <c r="E90" s="3" t="str">
        <f t="shared" si="8"/>
        <v/>
      </c>
      <c r="F90" s="3" t="str">
        <f t="shared" si="9"/>
        <v/>
      </c>
      <c r="G90" s="3" t="str">
        <f t="shared" si="10"/>
        <v/>
      </c>
      <c r="H90" s="3" t="str">
        <f t="shared" si="11"/>
        <v/>
      </c>
      <c r="I90" s="2" t="str">
        <f t="shared" si="12"/>
        <v/>
      </c>
    </row>
    <row r="91" spans="1:9" x14ac:dyDescent="0.45">
      <c r="B91" s="2" t="str">
        <f t="shared" si="13"/>
        <v/>
      </c>
      <c r="C91" s="3" t="str">
        <f t="shared" si="14"/>
        <v/>
      </c>
      <c r="D91" s="3" t="str">
        <f t="shared" si="15"/>
        <v/>
      </c>
      <c r="E91" s="3" t="str">
        <f t="shared" si="8"/>
        <v/>
      </c>
      <c r="F91" s="3" t="str">
        <f t="shared" si="9"/>
        <v/>
      </c>
      <c r="G91" s="3" t="str">
        <f t="shared" si="10"/>
        <v/>
      </c>
      <c r="H91" s="3" t="str">
        <f t="shared" si="11"/>
        <v/>
      </c>
      <c r="I91" s="2" t="str">
        <f t="shared" si="12"/>
        <v/>
      </c>
    </row>
    <row r="92" spans="1:9" x14ac:dyDescent="0.45">
      <c r="B92" s="2" t="str">
        <f t="shared" si="13"/>
        <v/>
      </c>
      <c r="C92" s="3" t="str">
        <f t="shared" si="14"/>
        <v/>
      </c>
      <c r="D92" s="3" t="str">
        <f t="shared" si="15"/>
        <v/>
      </c>
      <c r="E92" s="3" t="str">
        <f t="shared" si="8"/>
        <v/>
      </c>
      <c r="F92" s="3" t="str">
        <f t="shared" si="9"/>
        <v/>
      </c>
      <c r="G92" s="3" t="str">
        <f t="shared" si="10"/>
        <v/>
      </c>
      <c r="H92" s="3" t="str">
        <f t="shared" si="11"/>
        <v/>
      </c>
      <c r="I92" s="2" t="str">
        <f t="shared" si="12"/>
        <v/>
      </c>
    </row>
    <row r="93" spans="1:9" x14ac:dyDescent="0.45">
      <c r="B93" s="2" t="str">
        <f t="shared" si="13"/>
        <v/>
      </c>
      <c r="C93" s="3" t="str">
        <f t="shared" si="14"/>
        <v/>
      </c>
      <c r="D93" s="3" t="str">
        <f t="shared" si="15"/>
        <v/>
      </c>
      <c r="E93" s="3" t="str">
        <f t="shared" si="8"/>
        <v/>
      </c>
      <c r="F93" s="3" t="str">
        <f t="shared" si="9"/>
        <v/>
      </c>
      <c r="G93" s="3" t="str">
        <f t="shared" si="10"/>
        <v/>
      </c>
      <c r="H93" s="3" t="str">
        <f t="shared" si="11"/>
        <v/>
      </c>
      <c r="I93" s="2" t="str">
        <f t="shared" si="12"/>
        <v/>
      </c>
    </row>
    <row r="94" spans="1:9" x14ac:dyDescent="0.45">
      <c r="B94" s="2" t="str">
        <f t="shared" si="13"/>
        <v/>
      </c>
      <c r="C94" s="3" t="str">
        <f t="shared" si="14"/>
        <v/>
      </c>
      <c r="D94" s="3" t="str">
        <f t="shared" si="15"/>
        <v/>
      </c>
      <c r="E94" s="3" t="str">
        <f t="shared" si="8"/>
        <v/>
      </c>
      <c r="F94" s="3" t="str">
        <f t="shared" si="9"/>
        <v/>
      </c>
      <c r="G94" s="3" t="str">
        <f t="shared" si="10"/>
        <v/>
      </c>
      <c r="H94" s="3" t="str">
        <f t="shared" si="11"/>
        <v/>
      </c>
      <c r="I94" s="2" t="str">
        <f t="shared" si="12"/>
        <v/>
      </c>
    </row>
    <row r="95" spans="1:9" x14ac:dyDescent="0.45">
      <c r="B95" s="2" t="str">
        <f t="shared" si="13"/>
        <v/>
      </c>
      <c r="C95" s="3" t="str">
        <f t="shared" si="14"/>
        <v/>
      </c>
      <c r="D95" s="3" t="str">
        <f t="shared" si="15"/>
        <v/>
      </c>
      <c r="E95" s="3" t="str">
        <f t="shared" si="8"/>
        <v/>
      </c>
      <c r="F95" s="3" t="str">
        <f t="shared" si="9"/>
        <v/>
      </c>
      <c r="G95" s="3" t="str">
        <f t="shared" si="10"/>
        <v/>
      </c>
      <c r="H95" s="3" t="str">
        <f t="shared" si="11"/>
        <v/>
      </c>
      <c r="I95" s="2" t="str">
        <f t="shared" si="12"/>
        <v/>
      </c>
    </row>
    <row r="96" spans="1:9" x14ac:dyDescent="0.45">
      <c r="B96" s="2" t="str">
        <f t="shared" si="13"/>
        <v/>
      </c>
      <c r="C96" s="3" t="str">
        <f t="shared" si="14"/>
        <v/>
      </c>
      <c r="D96" s="3" t="str">
        <f t="shared" si="15"/>
        <v/>
      </c>
      <c r="E96" s="3" t="str">
        <f t="shared" si="8"/>
        <v/>
      </c>
      <c r="F96" s="3" t="str">
        <f t="shared" si="9"/>
        <v/>
      </c>
      <c r="G96" s="3" t="str">
        <f t="shared" si="10"/>
        <v/>
      </c>
      <c r="H96" s="3" t="str">
        <f t="shared" si="11"/>
        <v/>
      </c>
      <c r="I96" s="2" t="str">
        <f t="shared" si="12"/>
        <v/>
      </c>
    </row>
    <row r="97" spans="2:9" x14ac:dyDescent="0.45">
      <c r="B97" s="2" t="str">
        <f t="shared" si="13"/>
        <v/>
      </c>
      <c r="C97" s="3" t="str">
        <f t="shared" si="14"/>
        <v/>
      </c>
      <c r="D97" s="3" t="str">
        <f t="shared" si="15"/>
        <v/>
      </c>
      <c r="E97" s="3" t="str">
        <f t="shared" si="8"/>
        <v/>
      </c>
      <c r="F97" s="3" t="str">
        <f t="shared" si="9"/>
        <v/>
      </c>
      <c r="G97" s="3" t="str">
        <f t="shared" si="10"/>
        <v/>
      </c>
      <c r="H97" s="3" t="str">
        <f t="shared" si="11"/>
        <v/>
      </c>
      <c r="I97" s="2" t="str">
        <f t="shared" si="12"/>
        <v/>
      </c>
    </row>
    <row r="98" spans="2:9" x14ac:dyDescent="0.45">
      <c r="B98" s="2" t="str">
        <f t="shared" si="13"/>
        <v/>
      </c>
      <c r="C98" s="3" t="str">
        <f t="shared" si="14"/>
        <v/>
      </c>
      <c r="D98" s="3" t="str">
        <f t="shared" si="15"/>
        <v/>
      </c>
      <c r="E98" s="3" t="str">
        <f t="shared" si="8"/>
        <v/>
      </c>
      <c r="F98" s="3" t="str">
        <f t="shared" si="9"/>
        <v/>
      </c>
      <c r="G98" s="3" t="str">
        <f t="shared" si="10"/>
        <v/>
      </c>
      <c r="H98" s="3" t="str">
        <f t="shared" si="11"/>
        <v/>
      </c>
      <c r="I98" s="2" t="str">
        <f t="shared" si="12"/>
        <v/>
      </c>
    </row>
    <row r="99" spans="2:9" x14ac:dyDescent="0.45">
      <c r="B99" s="2" t="str">
        <f t="shared" si="13"/>
        <v/>
      </c>
      <c r="C99" s="3" t="str">
        <f t="shared" si="14"/>
        <v/>
      </c>
      <c r="D99" s="3" t="str">
        <f t="shared" si="15"/>
        <v/>
      </c>
      <c r="E99" s="3" t="str">
        <f t="shared" si="8"/>
        <v/>
      </c>
      <c r="F99" s="3" t="str">
        <f t="shared" si="9"/>
        <v/>
      </c>
      <c r="G99" s="3" t="str">
        <f t="shared" si="10"/>
        <v/>
      </c>
      <c r="H99" s="3" t="str">
        <f t="shared" si="11"/>
        <v/>
      </c>
      <c r="I99" s="2" t="str">
        <f t="shared" si="12"/>
        <v/>
      </c>
    </row>
    <row r="100" spans="2:9" x14ac:dyDescent="0.45">
      <c r="B100" s="2" t="str">
        <f t="shared" si="13"/>
        <v/>
      </c>
      <c r="C100" s="3" t="str">
        <f t="shared" si="14"/>
        <v/>
      </c>
      <c r="D100" s="3" t="str">
        <f t="shared" si="15"/>
        <v/>
      </c>
      <c r="E100" s="3" t="str">
        <f t="shared" si="8"/>
        <v/>
      </c>
      <c r="F100" s="3" t="str">
        <f t="shared" si="9"/>
        <v/>
      </c>
      <c r="G100" s="3" t="str">
        <f t="shared" si="10"/>
        <v/>
      </c>
      <c r="H100" s="3" t="str">
        <f t="shared" si="11"/>
        <v/>
      </c>
      <c r="I100" s="2" t="str">
        <f t="shared" si="12"/>
        <v/>
      </c>
    </row>
    <row r="101" spans="2:9" x14ac:dyDescent="0.45">
      <c r="B101" s="2" t="str">
        <f t="shared" si="13"/>
        <v/>
      </c>
      <c r="C101" s="3" t="str">
        <f t="shared" si="14"/>
        <v/>
      </c>
      <c r="D101" s="3" t="str">
        <f t="shared" si="15"/>
        <v/>
      </c>
      <c r="E101" s="3" t="str">
        <f t="shared" si="8"/>
        <v/>
      </c>
      <c r="F101" s="3" t="str">
        <f t="shared" si="9"/>
        <v/>
      </c>
      <c r="G101" s="3" t="str">
        <f t="shared" si="10"/>
        <v/>
      </c>
      <c r="H101" s="3" t="str">
        <f t="shared" si="11"/>
        <v/>
      </c>
      <c r="I101" s="2" t="str">
        <f t="shared" si="12"/>
        <v/>
      </c>
    </row>
    <row r="102" spans="2:9" x14ac:dyDescent="0.45">
      <c r="B102" s="2" t="str">
        <f t="shared" si="13"/>
        <v/>
      </c>
      <c r="C102" s="3" t="str">
        <f t="shared" si="14"/>
        <v/>
      </c>
      <c r="D102" s="3" t="str">
        <f t="shared" si="15"/>
        <v/>
      </c>
      <c r="E102" s="3" t="str">
        <f t="shared" si="8"/>
        <v/>
      </c>
      <c r="F102" s="3" t="str">
        <f t="shared" si="9"/>
        <v/>
      </c>
      <c r="G102" s="3" t="str">
        <f t="shared" si="10"/>
        <v/>
      </c>
      <c r="H102" s="3" t="str">
        <f t="shared" si="11"/>
        <v/>
      </c>
      <c r="I102" s="2" t="str">
        <f t="shared" si="12"/>
        <v/>
      </c>
    </row>
    <row r="103" spans="2:9" x14ac:dyDescent="0.45">
      <c r="B103" s="2" t="str">
        <f t="shared" si="13"/>
        <v/>
      </c>
      <c r="C103" s="3" t="str">
        <f t="shared" si="14"/>
        <v/>
      </c>
      <c r="D103" s="3" t="str">
        <f t="shared" si="15"/>
        <v/>
      </c>
      <c r="E103" s="3" t="str">
        <f t="shared" si="8"/>
        <v/>
      </c>
      <c r="F103" s="3" t="str">
        <f t="shared" si="9"/>
        <v/>
      </c>
      <c r="G103" s="3" t="str">
        <f t="shared" si="10"/>
        <v/>
      </c>
      <c r="H103" s="3" t="str">
        <f t="shared" si="11"/>
        <v/>
      </c>
      <c r="I103" s="2" t="str">
        <f t="shared" si="12"/>
        <v/>
      </c>
    </row>
    <row r="104" spans="2:9" x14ac:dyDescent="0.45">
      <c r="B104" s="2" t="str">
        <f t="shared" si="13"/>
        <v/>
      </c>
      <c r="C104" s="3" t="str">
        <f t="shared" si="14"/>
        <v/>
      </c>
      <c r="D104" s="3" t="str">
        <f t="shared" si="15"/>
        <v/>
      </c>
      <c r="E104" s="3" t="str">
        <f t="shared" si="8"/>
        <v/>
      </c>
      <c r="F104" s="3" t="str">
        <f t="shared" si="9"/>
        <v/>
      </c>
      <c r="G104" s="3" t="str">
        <f t="shared" si="10"/>
        <v/>
      </c>
      <c r="H104" s="3" t="str">
        <f t="shared" si="11"/>
        <v/>
      </c>
      <c r="I104" s="2" t="str">
        <f t="shared" si="12"/>
        <v/>
      </c>
    </row>
  </sheetData>
  <mergeCells count="1">
    <mergeCell ref="A1:G3"/>
  </mergeCells>
  <pageMargins left="0.7" right="0.7" top="0.75" bottom="0.75" header="0.3" footer="0.3"/>
  <pageSetup scale="71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final">
                <anchor moveWithCells="1" sizeWithCells="1">
                  <from>
                    <xdr:col>3</xdr:col>
                    <xdr:colOff>604838</xdr:colOff>
                    <xdr:row>8</xdr:row>
                    <xdr:rowOff>33338</xdr:rowOff>
                  </from>
                  <to>
                    <xdr:col>6</xdr:col>
                    <xdr:colOff>757238</xdr:colOff>
                    <xdr:row>13</xdr:row>
                    <xdr:rowOff>42863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Student Setup</vt:lpstr>
      <vt:lpstr>'Student Setup'!Print_Area</vt:lpstr>
    </vt:vector>
  </TitlesOfParts>
  <Company>Brigham Young University Idaho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BYU Idaho</dc:creator>
  <cp:lastModifiedBy>Ricky</cp:lastModifiedBy>
  <cp:lastPrinted>2017-05-02T14:26:49Z</cp:lastPrinted>
  <dcterms:created xsi:type="dcterms:W3CDTF">2012-10-23T15:20:47Z</dcterms:created>
  <dcterms:modified xsi:type="dcterms:W3CDTF">2018-02-01T05:07:31Z</dcterms:modified>
</cp:coreProperties>
</file>